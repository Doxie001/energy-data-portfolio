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lants" sheetId="2" state="visible" r:id="rId4"/>
    <sheet name="Plant_Quarter" sheetId="3" state="visible" r:id="rId5"/>
    <sheet name="DisCo_Quarter" sheetId="4" state="visible" r:id="rId6"/>
    <sheet name="National_Quarter" sheetId="5" state="visible" r:id="rId7"/>
    <sheet name="Monthly" sheetId="6" state="visible" r:id="rId8"/>
    <sheet name="System_Events" sheetId="7" state="visible" r:id="rId9"/>
    <sheet name="Checks" sheetId="8" state="visible" r:id="rId10"/>
  </sheets>
  <definedNames>
    <definedName function="false" hidden="true" localSheetId="3" name="_xlnm._FilterDatabase" vbProcedure="false">DisCo_Quarter!$A$1:$G$34</definedName>
    <definedName function="false" hidden="true" localSheetId="2" name="_xlnm._FilterDatabase" vbProcedure="false">Plant_Quarter!$A$1:$J$85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<sst xmlns="http://schemas.openxmlformats.org/spreadsheetml/2006/main" count="485" uniqueCount="202">
  <si>
    <t xml:space="preserve">NERC supply data - Week 1 Early Warning Dashboard</t>
  </si>
  <si>
    <t xml:space="preserve">Purpose</t>
  </si>
  <si>
    <t xml:space="preserve">Clean, tidy tables from three NERC reports so a supply-side early warning dashboard can be built and every total traced back to the report.</t>
  </si>
  <si>
    <t xml:space="preserve">Sources</t>
  </si>
  <si>
    <t xml:space="preserve">NERC 2025 Annual Report; NERC Quarterly Report Q1 2026 (covers 2025/Q4 vs 2026/Q1); NERC Quarterly Report Q2 2026 (covers 2026/Q1 vs 2026/Q2). All three PDFs came from NERC_REPORTS.zip.</t>
  </si>
  <si>
    <t xml:space="preserve">Quarters covered</t>
  </si>
  <si>
    <t xml:space="preserve">2025/Q4, 2026/Q1, 2026/Q2. The files contain no quarterly plant or DisCo tables for 2025 Q1-Q3; the Annual Report only has yearly tables and monthly charts for those months.</t>
  </si>
  <si>
    <t xml:space="preserve">Sheet: Plants</t>
  </si>
  <si>
    <t xml:space="preserve">One row per plant (28 plants). Installed MW, Hydro/Thermal type, and generation per quarter pulled from Plant_Quarter by formula.</t>
  </si>
  <si>
    <t xml:space="preserve">Sheet: Plant_Quarter</t>
  </si>
  <si>
    <t xml:space="preserve">One row per plant per quarter (84 rows). Blue cells are numbers copied from NERC Table 1 (availability) and Table 2 (generation). Black cells are formulas.</t>
  </si>
  <si>
    <t xml:space="preserve">Sheet: DisCo_Quarter</t>
  </si>
  <si>
    <t xml:space="preserve">One row per DisCo per quarter (33 rows). From NERC's DisCo Energy Offtake Performance table (Table 4 in the Q1 report, Table 3 in the Q2 report). 'PH' is Port Harcourt as written in the reports.</t>
  </si>
  <si>
    <t xml:space="preserve">Sheet: National_Quarter</t>
  </si>
  <si>
    <t xml:space="preserve">The report's own national totals for each quarter (blue) next to values calculated here (black).</t>
  </si>
  <si>
    <t xml:space="preserve">Sheet: Monthly</t>
  </si>
  <si>
    <t xml:space="preserve">Monthly national available capacity and average hourly generation, typed from the chart data labels (Figures A and B in the Q1 and Q2 reports). Labels are rounded to whole numbers.</t>
  </si>
  <si>
    <t xml:space="preserve">Sheet: System_Events</t>
  </si>
  <si>
    <t xml:space="preserve">System collapses: 2025 (Annual Report Table 25) and 2026 Q1 (Q1 report Table 3). The Q2 report states there were none.</t>
  </si>
  <si>
    <t xml:space="preserve">Sheet: Checks</t>
  </si>
  <si>
    <t xml:space="preserve">Reconciliation: this workbook's totals against the totals NERC states, with PASS or FAIL. The tolerance cell can be changed.</t>
  </si>
  <si>
    <t xml:space="preserve">Units</t>
  </si>
  <si>
    <t xml:space="preserve">MW = capacity (available or installed). MWh/h = average hourly energy, numerically the same as average MW. GWh = quarterly total = MWh/h x 24 x days / 1,000. PAF and load percentages are on a 0-100 scale, as in the reports.</t>
  </si>
  <si>
    <t xml:space="preserve">Colour code</t>
  </si>
  <si>
    <t xml:space="preserve">Blue text = number typed from a report. Black = formula. Green = link to another sheet. Yellow fill = assumption to confirm.</t>
  </si>
  <si>
    <t xml:space="preserve">Assumption 1</t>
  </si>
  <si>
    <t xml:space="preserve">Alaoji_1 shows '-' for 2026/Q1 generation in the Q2 report (not available for dispatch). It is entered as 0, which matches the 0.00 in the Q1 report.</t>
  </si>
  <si>
    <t xml:space="preserve">Assumption 2</t>
  </si>
  <si>
    <t xml:space="preserve">Hydro/Thermal type is not a column in the reports. The five plants set as Hydro (Kainji_1, Jebba_1, Shiroro_1, Zungeru_1, Dadin-Kowa_1) are the ones whose combined generation change matches NERC's stated hydro change. See the Checks sheet.</t>
  </si>
  <si>
    <t xml:space="preserve">Assumption 3</t>
  </si>
  <si>
    <t xml:space="preserve">'Generation / Available (%)' in Plant_Quarter is my own ratio (generation divided by available capacity). It is not NERC's official load factor.</t>
  </si>
  <si>
    <t xml:space="preserve">Known gaps</t>
  </si>
  <si>
    <t xml:space="preserve">(a) The 2025 collapse remarks in the Annual Report PDF are not clearly aligned to one event, so cause for 10/09/2025 is left for you to confirm on page 154. (b) Monthly 2025 Jan-Sep values are chart-only in the Annual Report and are not included.</t>
  </si>
  <si>
    <t xml:space="preserve">Verified at build</t>
  </si>
  <si>
    <t xml:space="preserve">The 2026/Q1 columns in the Q2 report are identical to the 2026/Q1 columns in the Q1 report for all 28 plants and all 11 DisCos, so no restated figures were found.</t>
  </si>
  <si>
    <t xml:space="preserve">Plant</t>
  </si>
  <si>
    <t xml:space="preserve">Installed capacity (MW)</t>
  </si>
  <si>
    <t xml:space="preserve">Type</t>
  </si>
  <si>
    <t xml:space="preserve">Generation 2025/Q4 (MWh/h)</t>
  </si>
  <si>
    <t xml:space="preserve">Generation 2026/Q1 (MWh/h)</t>
  </si>
  <si>
    <t xml:space="preserve">Generation 2026/Q2 (MWh/h)</t>
  </si>
  <si>
    <t xml:space="preserve">Change Q1 to Q2 (MWh/h)</t>
  </si>
  <si>
    <t xml:space="preserve">Change Q4 to Q1 (MWh/h)</t>
  </si>
  <si>
    <t xml:space="preserve">Ihovbor_2</t>
  </si>
  <si>
    <t xml:space="preserve">Thermal</t>
  </si>
  <si>
    <t xml:space="preserve">Ikeja_1</t>
  </si>
  <si>
    <t xml:space="preserve">Jebba_1</t>
  </si>
  <si>
    <t xml:space="preserve">Hydro</t>
  </si>
  <si>
    <t xml:space="preserve">Kainji_1</t>
  </si>
  <si>
    <t xml:space="preserve">Okpai_1</t>
  </si>
  <si>
    <t xml:space="preserve">Dadin-Kowa_1</t>
  </si>
  <si>
    <t xml:space="preserve">Shiroro_1</t>
  </si>
  <si>
    <t xml:space="preserve">Zungeru_1</t>
  </si>
  <si>
    <t xml:space="preserve">Igbafo_1</t>
  </si>
  <si>
    <t xml:space="preserve">Afam_2</t>
  </si>
  <si>
    <t xml:space="preserve">Delta_1</t>
  </si>
  <si>
    <t xml:space="preserve">Omotosho_1</t>
  </si>
  <si>
    <t xml:space="preserve">Olorunsogo_1</t>
  </si>
  <si>
    <t xml:space="preserve">Egbin_1</t>
  </si>
  <si>
    <t xml:space="preserve">Geregu_2</t>
  </si>
  <si>
    <t xml:space="preserve">Odukpani_1</t>
  </si>
  <si>
    <t xml:space="preserve">Omoku_1</t>
  </si>
  <si>
    <t xml:space="preserve">Ihovbor_1</t>
  </si>
  <si>
    <t xml:space="preserve">Omotosho_2</t>
  </si>
  <si>
    <t xml:space="preserve">Trans Amadi_1</t>
  </si>
  <si>
    <t xml:space="preserve">Ibom power_1</t>
  </si>
  <si>
    <t xml:space="preserve">Olorunsogo_2</t>
  </si>
  <si>
    <t xml:space="preserve">Rivers_1</t>
  </si>
  <si>
    <t xml:space="preserve">Alaoji_1</t>
  </si>
  <si>
    <t xml:space="preserve">Sapele_2</t>
  </si>
  <si>
    <t xml:space="preserve">Afam_1</t>
  </si>
  <si>
    <t xml:space="preserve">Sapele Steam_1</t>
  </si>
  <si>
    <t xml:space="preserve">Geregu_1</t>
  </si>
  <si>
    <t xml:space="preserve">Total</t>
  </si>
  <si>
    <t xml:space="preserve">Quarter</t>
  </si>
  <si>
    <t xml:space="preserve">Average available capacity (MW)</t>
  </si>
  <si>
    <t xml:space="preserve">PAF reported (%)</t>
  </si>
  <si>
    <t xml:space="preserve">Average hourly generation (MWh/h)</t>
  </si>
  <si>
    <t xml:space="preserve">PAF recalculated (%)</t>
  </si>
  <si>
    <t xml:space="preserve">PAF difference (pp)</t>
  </si>
  <si>
    <t xml:space="preserve">Generation / Available (%)</t>
  </si>
  <si>
    <t xml:space="preserve">2025/Q4</t>
  </si>
  <si>
    <t xml:space="preserve">2026/Q1</t>
  </si>
  <si>
    <t xml:space="preserve">2026/Q2</t>
  </si>
  <si>
    <t xml:space="preserve">DisCo</t>
  </si>
  <si>
    <t xml:space="preserve">Energy offtake (MWh/h)</t>
  </si>
  <si>
    <t xml:space="preserve">Available PCC (MWh/h)</t>
  </si>
  <si>
    <t xml:space="preserve">Offtake performance reported (%)</t>
  </si>
  <si>
    <t xml:space="preserve">Offtake performance recalculated (%)</t>
  </si>
  <si>
    <t xml:space="preserve">Difference (pp)</t>
  </si>
  <si>
    <t xml:space="preserve">Abuja</t>
  </si>
  <si>
    <t xml:space="preserve">Benin</t>
  </si>
  <si>
    <t xml:space="preserve">Eko</t>
  </si>
  <si>
    <t xml:space="preserve">Enugu</t>
  </si>
  <si>
    <t xml:space="preserve">Ibadan</t>
  </si>
  <si>
    <t xml:space="preserve">Ikeja</t>
  </si>
  <si>
    <t xml:space="preserve">Jos</t>
  </si>
  <si>
    <t xml:space="preserve">Kaduna</t>
  </si>
  <si>
    <t xml:space="preserve">Kano</t>
  </si>
  <si>
    <t xml:space="preserve">PH</t>
  </si>
  <si>
    <t xml:space="preserve">Yola</t>
  </si>
  <si>
    <t xml:space="preserve">Days in quarter</t>
  </si>
  <si>
    <t xml:space="preserve">Installed capacity reported (MW)</t>
  </si>
  <si>
    <t xml:space="preserve">Avg available capacity reported (MW)</t>
  </si>
  <si>
    <t xml:space="preserve">Avg hourly generation reported (MWh/h)</t>
  </si>
  <si>
    <t xml:space="preserve">Total generation reported (GWh)</t>
  </si>
  <si>
    <t xml:space="preserve">DisCo offtake reported (MWh/h)</t>
  </si>
  <si>
    <t xml:space="preserve">DisCo PCC reported (MWh/h)</t>
  </si>
  <si>
    <t xml:space="preserve">DisCo offtake reported (GWh)</t>
  </si>
  <si>
    <t xml:space="preserve">Total generation calculated (GWh)</t>
  </si>
  <si>
    <t xml:space="preserve">Generation minus DisCo offtake (MWh/h)</t>
  </si>
  <si>
    <t xml:space="preserve">DisCo offtake as % of generation</t>
  </si>
  <si>
    <t xml:space="preserve">n/a</t>
  </si>
  <si>
    <t xml:space="preserve">Notes</t>
  </si>
  <si>
    <t xml:space="preserve">Days: 92, 90 and 91 are the day counts NERC states in its report footnotes. DisCo offtake in GWh was not stated for 2025/Q4 in the Q1 report extract, so it shows n/a.</t>
  </si>
  <si>
    <t xml:space="preserve">Column L is the gap between what the plants generated and what the DisCos took at their trading points. The tables do not explain this gap, so treat it as a question to investigate.</t>
  </si>
  <si>
    <t xml:space="preserve">Month</t>
  </si>
  <si>
    <t xml:space="preserve">Avg available capacity (MW)</t>
  </si>
  <si>
    <t xml:space="preserve">Avg hourly generation (MWh/h)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</si>
  <si>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</si>
  <si>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</si>
  <si>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</si>
  <si>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</si>
  <si>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</si>
  <si>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</si>
  <si>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</si>
  <si>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</si>
  <si>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</si>
  <si>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Source: chart data labels, Figure A and Figure B in the Q1 2026 report (Oct-25 to Mar-26) and the Q2 2026 report (Jan-26 to Jun-26). Labels are rounded to whole numbers, so quarter averages differ slightly from the reported quarterly figures.</t>
  </si>
  <si>
    <t xml:space="preserve">Quarter average check (simple average of the three months):</t>
  </si>
  <si>
    <t xml:space="preserve">Date</t>
  </si>
  <si>
    <t xml:space="preserve">Time of collapse (as reported)</t>
  </si>
  <si>
    <t xml:space="preserve">Restoration (as reported)</t>
  </si>
  <si>
    <t xml:space="preserve">Cause (short summary)</t>
  </si>
  <si>
    <t xml:space="preserve">Source</t>
  </si>
  <si>
    <t xml:space="preserve">2025/Q3</t>
  </si>
  <si>
    <t xml:space="preserve">Full</t>
  </si>
  <si>
    <t xml:space="preserve">11:20Hrs</t>
  </si>
  <si>
    <t xml:space="preserve">10/09/2025 11:48Hrs</t>
  </si>
  <si>
    <t xml:space="preserve">Cause not clearly tied to this event in the PDF layout. Check page 154 of the Annual Report.</t>
  </si>
  <si>
    <t xml:space="preserve">Annual Report 2025, Table 25</t>
  </si>
  <si>
    <t xml:space="preserve">Partial</t>
  </si>
  <si>
    <t xml:space="preserve">14:01Hrs</t>
  </si>
  <si>
    <t xml:space="preserve">29/12/2025 14:30Hrs</t>
  </si>
  <si>
    <t xml:space="preserve">Remarks text in the PDF mentions a failed circuit breaker on the Benin-Onitsha 330kV line at Benin station. Confirm on page 154 which event it belongs to.</t>
  </si>
  <si>
    <t xml:space="preserve">12:40Hrs</t>
  </si>
  <si>
    <t xml:space="preserve">not stated</t>
  </si>
  <si>
    <t xml:space="preserve">Busbar separation at Sapele transmission station cut the evacuation lines in the Delta corridor, then generation was lost and frequency decayed.</t>
  </si>
  <si>
    <t xml:space="preserve">Q1 2026 report, Table 3</t>
  </si>
  <si>
    <t xml:space="preserve">10.48Hrs (as printed)</t>
  </si>
  <si>
    <t xml:space="preserve">Preliminary observation: not enough reactive power to hold voltage margins.</t>
  </si>
  <si>
    <t xml:space="preserve">none</t>
  </si>
  <si>
    <t xml:space="preserve">The Q2 report states there were no system disturbances on the National Grid.</t>
  </si>
  <si>
    <t xml:space="preserve">Q2 2026 report, Summary</t>
  </si>
  <si>
    <t xml:space="preserve">Annual Report Table 24 counts collapses per year (2019-2025). 2025: 1 partial and 1 total. The 10/09/2025 event is listed as 'Full' in Table 25 but 'Total' in the Table 24 category.</t>
  </si>
  <si>
    <t xml:space="preserve">Reconciliation against the totals stated in the reports</t>
  </si>
  <si>
    <t xml:space="preserve">Tolerance</t>
  </si>
  <si>
    <t xml:space="preserve">Rounding in the reports causes differences up to about 0.01. A bigger gap means a data entry error. Change this cell to test a stricter or looser limit.</t>
  </si>
  <si>
    <t xml:space="preserve">Tolerance for 'change' checks</t>
  </si>
  <si>
    <t xml:space="preserve">Used for generation-change rows only. Each change sums up to 28 rounded plant values, so rounding can build up. Every individual plant change here is within 0.01 of the printed value.</t>
  </si>
  <si>
    <t xml:space="preserve">Check</t>
  </si>
  <si>
    <t xml:space="preserve">This workbook</t>
  </si>
  <si>
    <t xml:space="preserve">Report states</t>
  </si>
  <si>
    <t xml:space="preserve">Difference</t>
  </si>
  <si>
    <t xml:space="preserve">Result</t>
  </si>
  <si>
    <t xml:space="preserve">Installed capacity, sum of 28 plants (MW)</t>
  </si>
  <si>
    <t xml:space="preserve">2025/Q4 available capacity, sum of plants (MW)</t>
  </si>
  <si>
    <t xml:space="preserve">2026/Q1 available capacity, sum of plants (MW)</t>
  </si>
  <si>
    <t xml:space="preserve">2026/Q2 available capacity, sum of plants (MW)</t>
  </si>
  <si>
    <t xml:space="preserve">2025/Q4 average hourly generation, sum of plants (MWh/h)</t>
  </si>
  <si>
    <t xml:space="preserve">2026/Q1 average hourly generation, sum of plants (MWh/h)</t>
  </si>
  <si>
    <t xml:space="preserve">2026/Q2 average hourly generation, sum of plants (MWh/h)</t>
  </si>
  <si>
    <t xml:space="preserve">2025/Q4 PAF recalculated from totals (%)</t>
  </si>
  <si>
    <t xml:space="preserve">2026/Q1 PAF recalculated from totals (%)</t>
  </si>
  <si>
    <t xml:space="preserve">2026/Q2 PAF recalculated from totals (%)</t>
  </si>
  <si>
    <t xml:space="preserve">2025/Q4 total generation from MWh/h x 24 x days (GWh)</t>
  </si>
  <si>
    <t xml:space="preserve">2026/Q1 total generation from MWh/h x 24 x days (GWh)</t>
  </si>
  <si>
    <t xml:space="preserve">2026/Q2 total generation from MWh/h x 24 x days (GWh)</t>
  </si>
  <si>
    <t xml:space="preserve">2025/Q4 DisCo offtake, sum of 11 DisCos (MWh/h)</t>
  </si>
  <si>
    <t xml:space="preserve">2026/Q1 DisCo offtake, sum of 11 DisCos (MWh/h)</t>
  </si>
  <si>
    <t xml:space="preserve">2026/Q2 DisCo offtake, sum of 11 DisCos (MWh/h)</t>
  </si>
  <si>
    <t xml:space="preserve">2025/Q4 DisCo PCC, sum of 11 DisCos (MWh/h)</t>
  </si>
  <si>
    <t xml:space="preserve">2026/Q1 DisCo PCC, sum of 11 DisCos (MWh/h)</t>
  </si>
  <si>
    <t xml:space="preserve">2026/Q2 DisCo PCC, sum of 11 DisCos (MWh/h)</t>
  </si>
  <si>
    <t xml:space="preserve">2026/Q1 DisCo offtake in GWh from MWh/h x 24 x days</t>
  </si>
  <si>
    <t xml:space="preserve">2026/Q2 DisCo offtake in GWh from MWh/h x 24 x days</t>
  </si>
  <si>
    <t xml:space="preserve">2025/Q4 row count in Plant_Quarter (expect 28 plants)</t>
  </si>
  <si>
    <t xml:space="preserve">2026/Q1 row count in Plant_Quarter (expect 28 plants)</t>
  </si>
  <si>
    <t xml:space="preserve">2026/Q2 row count in Plant_Quarter (expect 28 plants)</t>
  </si>
  <si>
    <t xml:space="preserve">2025/Q4 row count in DisCo_Quarter (expect 11 DisCos)</t>
  </si>
  <si>
    <t xml:space="preserve">2026/Q1 row count in DisCo_Quarter (expect 11 DisCos)</t>
  </si>
  <si>
    <t xml:space="preserve">2026/Q2 row count in DisCo_Quarter (expect 11 DisCos)</t>
  </si>
  <si>
    <t xml:space="preserve">Hydro generation change Q1 to Q2 (MWh/h)</t>
  </si>
  <si>
    <t xml:space="preserve">Thermal generation change Q1 to Q2 (MWh/h)</t>
  </si>
  <si>
    <t xml:space="preserve">Hydro generation change Q4 to Q1 (MWh/h)</t>
  </si>
  <si>
    <t xml:space="preserve">Thermal generation change Q4 to Q1 (MWh/h)</t>
  </si>
  <si>
    <t xml:space="preserve">Plants with lower generation, Q1 to Q2 (report: 12)</t>
  </si>
  <si>
    <t xml:space="preserve">Plants with higher generation, Q1 to Q2 (report: 16)</t>
  </si>
  <si>
    <t xml:space="preserve">Total generation change Q1 to Q2 (MWh/h)</t>
  </si>
  <si>
    <t xml:space="preserve">Total generation change Q4 to Q1 (MWh/h)</t>
  </si>
  <si>
    <t xml:space="preserve">Checks passed</t>
  </si>
  <si>
    <t xml:space="preserve">Checks failed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</si>
</sst>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#,##0.00;\-#,##0.00;0.00"/>
    <numFmt numFmtId="168" formatCode="0.00"/>
    <numFmt numFmtId="169" formatCode="0.0"/>
    <numFmt numFmtId="170" formatCode="0"/>
    <numFmt numFmtId="171" formatCode="#,##0.0"/>
    <numFmt numFmtId="172" formatCode="dd/mm/yyyy"/>
    <numFmt numFmtId="173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23.85" hidden="false" customHeight="false" outlineLevel="0" collapsed="false">
      <c r="A15" s="4" t="s">
        <v>25</v>
      </c>
      <c r="B15" s="3" t="s">
        <v>26</v>
      </c>
    </row>
    <row r="16" customFormat="false" ht="23.85" hidden="false" customHeight="false" outlineLevel="0" collapsed="false">
      <c r="A16" s="4" t="s">
        <v>27</v>
      </c>
      <c r="B16" s="3" t="s">
        <v>28</v>
      </c>
    </row>
    <row r="17" customFormat="false" ht="23.85" hidden="false" customHeight="false" outlineLevel="0" collapsed="false">
      <c r="A17" s="4" t="s">
        <v>29</v>
      </c>
      <c r="B17" s="3" t="s">
        <v>30</v>
      </c>
    </row>
    <row r="18" customFormat="false" ht="23.85" hidden="false" customHeight="false" outlineLevel="0" collapsed="false">
      <c r="A18" s="2" t="s">
        <v>31</v>
      </c>
      <c r="B18" s="3" t="s">
        <v>32</v>
      </c>
    </row>
    <row r="19" customFormat="false" ht="23.85" hidden="false" customHeight="false" outlineLevel="0" collapsed="false">
      <c r="A19" s="2" t="s">
        <v>33</v>
      </c>
      <c r="B1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8" min="4" style="0" width="16"/>
  </cols>
  <sheetData>
    <row r="1" customFormat="false" ht="42" hidden="false" customHeight="tru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</row>
    <row r="2" customFormat="false" ht="15" hidden="false" customHeight="false" outlineLevel="0" collapsed="false">
      <c r="A2" s="6" t="s">
        <v>43</v>
      </c>
      <c r="B2" s="7" t="n">
        <v>461</v>
      </c>
      <c r="C2" s="8" t="s">
        <v>44</v>
      </c>
      <c r="D2" s="9" t="n">
        <f aca="false">SUMIFS(Plant_Quarter!$G$2:$G$85,Plant_Quarter!$A$2:$A$85,$A2,Plant_Quarter!$B$2:$B$85,"2025/Q4")</f>
        <v>402.46</v>
      </c>
      <c r="E2" s="9" t="n">
        <f aca="false">SUMIFS(Plant_Quarter!$G$2:$G$85,Plant_Quarter!$A$2:$A$85,$A2,Plant_Quarter!$B$2:$B$85,"2026/Q1")</f>
        <v>419.74</v>
      </c>
      <c r="F2" s="9" t="n">
        <f aca="false">SUMIFS(Plant_Quarter!$G$2:$G$85,Plant_Quarter!$A$2:$A$85,$A2,Plant_Quarter!$B$2:$B$85,"2026/Q2")</f>
        <v>419.48</v>
      </c>
      <c r="G2" s="10" t="n">
        <f aca="false">F2-E2</f>
        <v>-0.259999999999991</v>
      </c>
      <c r="H2" s="10" t="n">
        <f aca="false">E2-D2</f>
        <v>17.28</v>
      </c>
    </row>
    <row r="3" customFormat="false" ht="15" hidden="false" customHeight="false" outlineLevel="0" collapsed="false">
      <c r="A3" s="6" t="s">
        <v>45</v>
      </c>
      <c r="B3" s="7" t="n">
        <v>110</v>
      </c>
      <c r="C3" s="8" t="s">
        <v>44</v>
      </c>
      <c r="D3" s="9" t="n">
        <f aca="false">SUMIFS(Plant_Quarter!$G$2:$G$85,Plant_Quarter!$A$2:$A$85,$A3,Plant_Quarter!$B$2:$B$85,"2025/Q4")</f>
        <v>90.79</v>
      </c>
      <c r="E3" s="9" t="n">
        <f aca="false">SUMIFS(Plant_Quarter!$G$2:$G$85,Plant_Quarter!$A$2:$A$85,$A3,Plant_Quarter!$B$2:$B$85,"2026/Q1")</f>
        <v>81.46</v>
      </c>
      <c r="F3" s="9" t="n">
        <f aca="false">SUMIFS(Plant_Quarter!$G$2:$G$85,Plant_Quarter!$A$2:$A$85,$A3,Plant_Quarter!$B$2:$B$85,"2026/Q2")</f>
        <v>90.26</v>
      </c>
      <c r="G3" s="10" t="n">
        <f aca="false">F3-E3</f>
        <v>8.80000000000001</v>
      </c>
      <c r="H3" s="10" t="n">
        <f aca="false">E3-D3</f>
        <v>-9.33000000000001</v>
      </c>
    </row>
    <row r="4" customFormat="false" ht="15" hidden="false" customHeight="false" outlineLevel="0" collapsed="false">
      <c r="A4" s="6" t="s">
        <v>46</v>
      </c>
      <c r="B4" s="7" t="n">
        <v>578</v>
      </c>
      <c r="C4" s="8" t="s">
        <v>47</v>
      </c>
      <c r="D4" s="9" t="n">
        <f aca="false">SUMIFS(Plant_Quarter!$G$2:$G$85,Plant_Quarter!$A$2:$A$85,$A4,Plant_Quarter!$B$2:$B$85,"2025/Q4")</f>
        <v>405.91</v>
      </c>
      <c r="E4" s="9" t="n">
        <f aca="false">SUMIFS(Plant_Quarter!$G$2:$G$85,Plant_Quarter!$A$2:$A$85,$A4,Plant_Quarter!$B$2:$B$85,"2026/Q1")</f>
        <v>400.09</v>
      </c>
      <c r="F4" s="9" t="n">
        <f aca="false">SUMIFS(Plant_Quarter!$G$2:$G$85,Plant_Quarter!$A$2:$A$85,$A4,Plant_Quarter!$B$2:$B$85,"2026/Q2")</f>
        <v>363.32</v>
      </c>
      <c r="G4" s="10" t="n">
        <f aca="false">F4-E4</f>
        <v>-36.77</v>
      </c>
      <c r="H4" s="10" t="n">
        <f aca="false">E4-D4</f>
        <v>-5.82000000000005</v>
      </c>
    </row>
    <row r="5" customFormat="false" ht="15" hidden="false" customHeight="false" outlineLevel="0" collapsed="false">
      <c r="A5" s="6" t="s">
        <v>48</v>
      </c>
      <c r="B5" s="7" t="n">
        <v>760</v>
      </c>
      <c r="C5" s="8" t="s">
        <v>47</v>
      </c>
      <c r="D5" s="9" t="n">
        <f aca="false">SUMIFS(Plant_Quarter!$G$2:$G$85,Plant_Quarter!$A$2:$A$85,$A5,Plant_Quarter!$B$2:$B$85,"2025/Q4")</f>
        <v>544.2</v>
      </c>
      <c r="E5" s="9" t="n">
        <f aca="false">SUMIFS(Plant_Quarter!$G$2:$G$85,Plant_Quarter!$A$2:$A$85,$A5,Plant_Quarter!$B$2:$B$85,"2026/Q1")</f>
        <v>528.02</v>
      </c>
      <c r="F5" s="9" t="n">
        <f aca="false">SUMIFS(Plant_Quarter!$G$2:$G$85,Plant_Quarter!$A$2:$A$85,$A5,Plant_Quarter!$B$2:$B$85,"2026/Q2")</f>
        <v>409.44</v>
      </c>
      <c r="G5" s="10" t="n">
        <f aca="false">F5-E5</f>
        <v>-118.58</v>
      </c>
      <c r="H5" s="10" t="n">
        <f aca="false">E5-D5</f>
        <v>-16.1800000000001</v>
      </c>
    </row>
    <row r="6" customFormat="false" ht="15" hidden="false" customHeight="false" outlineLevel="0" collapsed="false">
      <c r="A6" s="6" t="s">
        <v>49</v>
      </c>
      <c r="B6" s="7" t="n">
        <v>480</v>
      </c>
      <c r="C6" s="8" t="s">
        <v>44</v>
      </c>
      <c r="D6" s="9" t="n">
        <f aca="false">SUMIFS(Plant_Quarter!$G$2:$G$85,Plant_Quarter!$A$2:$A$85,$A6,Plant_Quarter!$B$2:$B$85,"2025/Q4")</f>
        <v>246.14</v>
      </c>
      <c r="E6" s="9" t="n">
        <f aca="false">SUMIFS(Plant_Quarter!$G$2:$G$85,Plant_Quarter!$A$2:$A$85,$A6,Plant_Quarter!$B$2:$B$85,"2026/Q1")</f>
        <v>237.28</v>
      </c>
      <c r="F6" s="9" t="n">
        <f aca="false">SUMIFS(Plant_Quarter!$G$2:$G$85,Plant_Quarter!$A$2:$A$85,$A6,Plant_Quarter!$B$2:$B$85,"2026/Q2")</f>
        <v>219.85</v>
      </c>
      <c r="G6" s="10" t="n">
        <f aca="false">F6-E6</f>
        <v>-17.43</v>
      </c>
      <c r="H6" s="10" t="n">
        <f aca="false">E6-D6</f>
        <v>-8.85999999999999</v>
      </c>
    </row>
    <row r="7" customFormat="false" ht="15" hidden="false" customHeight="false" outlineLevel="0" collapsed="false">
      <c r="A7" s="6" t="s">
        <v>50</v>
      </c>
      <c r="B7" s="7" t="n">
        <v>40</v>
      </c>
      <c r="C7" s="8" t="s">
        <v>47</v>
      </c>
      <c r="D7" s="9" t="n">
        <f aca="false">SUMIFS(Plant_Quarter!$G$2:$G$85,Plant_Quarter!$A$2:$A$85,$A7,Plant_Quarter!$B$2:$B$85,"2025/Q4")</f>
        <v>33.74</v>
      </c>
      <c r="E7" s="9" t="n">
        <f aca="false">SUMIFS(Plant_Quarter!$G$2:$G$85,Plant_Quarter!$A$2:$A$85,$A7,Plant_Quarter!$B$2:$B$85,"2026/Q1")</f>
        <v>17.05</v>
      </c>
      <c r="F7" s="9" t="n">
        <f aca="false">SUMIFS(Plant_Quarter!$G$2:$G$85,Plant_Quarter!$A$2:$A$85,$A7,Plant_Quarter!$B$2:$B$85,"2026/Q2")</f>
        <v>19.25</v>
      </c>
      <c r="G7" s="10" t="n">
        <f aca="false">F7-E7</f>
        <v>2.2</v>
      </c>
      <c r="H7" s="10" t="n">
        <f aca="false">E7-D7</f>
        <v>-16.69</v>
      </c>
    </row>
    <row r="8" customFormat="false" ht="15" hidden="false" customHeight="false" outlineLevel="0" collapsed="false">
      <c r="A8" s="6" t="s">
        <v>51</v>
      </c>
      <c r="B8" s="7" t="n">
        <v>600</v>
      </c>
      <c r="C8" s="8" t="s">
        <v>47</v>
      </c>
      <c r="D8" s="9" t="n">
        <f aca="false">SUMIFS(Plant_Quarter!$G$2:$G$85,Plant_Quarter!$A$2:$A$85,$A8,Plant_Quarter!$B$2:$B$85,"2025/Q4")</f>
        <v>281.79</v>
      </c>
      <c r="E8" s="9" t="n">
        <f aca="false">SUMIFS(Plant_Quarter!$G$2:$G$85,Plant_Quarter!$A$2:$A$85,$A8,Plant_Quarter!$B$2:$B$85,"2026/Q1")</f>
        <v>269.58</v>
      </c>
      <c r="F8" s="9" t="n">
        <f aca="false">SUMIFS(Plant_Quarter!$G$2:$G$85,Plant_Quarter!$A$2:$A$85,$A8,Plant_Quarter!$B$2:$B$85,"2026/Q2")</f>
        <v>270.61</v>
      </c>
      <c r="G8" s="10" t="n">
        <f aca="false">F8-E8</f>
        <v>1.03000000000003</v>
      </c>
      <c r="H8" s="10" t="n">
        <f aca="false">E8-D8</f>
        <v>-12.21</v>
      </c>
    </row>
    <row r="9" customFormat="false" ht="15" hidden="false" customHeight="false" outlineLevel="0" collapsed="false">
      <c r="A9" s="6" t="s">
        <v>52</v>
      </c>
      <c r="B9" s="7" t="n">
        <v>700</v>
      </c>
      <c r="C9" s="8" t="s">
        <v>47</v>
      </c>
      <c r="D9" s="9" t="n">
        <f aca="false">SUMIFS(Plant_Quarter!$G$2:$G$85,Plant_Quarter!$A$2:$A$85,$A9,Plant_Quarter!$B$2:$B$85,"2025/Q4")</f>
        <v>440.17</v>
      </c>
      <c r="E9" s="9" t="n">
        <f aca="false">SUMIFS(Plant_Quarter!$G$2:$G$85,Plant_Quarter!$A$2:$A$85,$A9,Plant_Quarter!$B$2:$B$85,"2026/Q1")</f>
        <v>280.68</v>
      </c>
      <c r="F9" s="9" t="n">
        <f aca="false">SUMIFS(Plant_Quarter!$G$2:$G$85,Plant_Quarter!$A$2:$A$85,$A9,Plant_Quarter!$B$2:$B$85,"2026/Q2")</f>
        <v>314.02</v>
      </c>
      <c r="G9" s="10" t="n">
        <f aca="false">F9-E9</f>
        <v>33.34</v>
      </c>
      <c r="H9" s="10" t="n">
        <f aca="false">E9-D9</f>
        <v>-159.49</v>
      </c>
    </row>
    <row r="10" customFormat="false" ht="15" hidden="false" customHeight="false" outlineLevel="0" collapsed="false">
      <c r="A10" s="6" t="s">
        <v>53</v>
      </c>
      <c r="B10" s="7" t="n">
        <v>45</v>
      </c>
      <c r="C10" s="8" t="s">
        <v>44</v>
      </c>
      <c r="D10" s="9" t="n">
        <f aca="false">SUMIFS(Plant_Quarter!$G$2:$G$85,Plant_Quarter!$A$2:$A$85,$A10,Plant_Quarter!$B$2:$B$85,"2025/Q4")</f>
        <v>17.95</v>
      </c>
      <c r="E10" s="9" t="n">
        <f aca="false">SUMIFS(Plant_Quarter!$G$2:$G$85,Plant_Quarter!$A$2:$A$85,$A10,Plant_Quarter!$B$2:$B$85,"2026/Q1")</f>
        <v>10.29</v>
      </c>
      <c r="F10" s="9" t="n">
        <f aca="false">SUMIFS(Plant_Quarter!$G$2:$G$85,Plant_Quarter!$A$2:$A$85,$A10,Plant_Quarter!$B$2:$B$85,"2026/Q2")</f>
        <v>14.84</v>
      </c>
      <c r="G10" s="10" t="n">
        <f aca="false">F10-E10</f>
        <v>4.55</v>
      </c>
      <c r="H10" s="10" t="n">
        <f aca="false">E10-D10</f>
        <v>-7.66</v>
      </c>
    </row>
    <row r="11" customFormat="false" ht="15" hidden="false" customHeight="false" outlineLevel="0" collapsed="false">
      <c r="A11" s="6" t="s">
        <v>54</v>
      </c>
      <c r="B11" s="7" t="n">
        <v>650</v>
      </c>
      <c r="C11" s="8" t="s">
        <v>44</v>
      </c>
      <c r="D11" s="9" t="n">
        <f aca="false">SUMIFS(Plant_Quarter!$G$2:$G$85,Plant_Quarter!$A$2:$A$85,$A11,Plant_Quarter!$B$2:$B$85,"2025/Q4")</f>
        <v>135.57</v>
      </c>
      <c r="E11" s="9" t="n">
        <f aca="false">SUMIFS(Plant_Quarter!$G$2:$G$85,Plant_Quarter!$A$2:$A$85,$A11,Plant_Quarter!$B$2:$B$85,"2026/Q1")</f>
        <v>184.29</v>
      </c>
      <c r="F11" s="9" t="n">
        <f aca="false">SUMIFS(Plant_Quarter!$G$2:$G$85,Plant_Quarter!$A$2:$A$85,$A11,Plant_Quarter!$B$2:$B$85,"2026/Q2")</f>
        <v>291.27</v>
      </c>
      <c r="G11" s="10" t="n">
        <f aca="false">F11-E11</f>
        <v>106.98</v>
      </c>
      <c r="H11" s="10" t="n">
        <f aca="false">E11-D11</f>
        <v>48.72</v>
      </c>
    </row>
    <row r="12" customFormat="false" ht="15" hidden="false" customHeight="false" outlineLevel="0" collapsed="false">
      <c r="A12" s="6" t="s">
        <v>55</v>
      </c>
      <c r="B12" s="7" t="n">
        <v>900</v>
      </c>
      <c r="C12" s="8" t="s">
        <v>44</v>
      </c>
      <c r="D12" s="9" t="n">
        <f aca="false">SUMIFS(Plant_Quarter!$G$2:$G$85,Plant_Quarter!$A$2:$A$85,$A12,Plant_Quarter!$B$2:$B$85,"2025/Q4")</f>
        <v>306.65</v>
      </c>
      <c r="E12" s="9" t="n">
        <f aca="false">SUMIFS(Plant_Quarter!$G$2:$G$85,Plant_Quarter!$A$2:$A$85,$A12,Plant_Quarter!$B$2:$B$85,"2026/Q1")</f>
        <v>343.44</v>
      </c>
      <c r="F12" s="9" t="n">
        <f aca="false">SUMIFS(Plant_Quarter!$G$2:$G$85,Plant_Quarter!$A$2:$A$85,$A12,Plant_Quarter!$B$2:$B$85,"2026/Q2")</f>
        <v>365.29</v>
      </c>
      <c r="G12" s="10" t="n">
        <f aca="false">F12-E12</f>
        <v>21.85</v>
      </c>
      <c r="H12" s="10" t="n">
        <f aca="false">E12-D12</f>
        <v>36.79</v>
      </c>
    </row>
    <row r="13" customFormat="false" ht="15" hidden="false" customHeight="false" outlineLevel="0" collapsed="false">
      <c r="A13" s="6" t="s">
        <v>56</v>
      </c>
      <c r="B13" s="7" t="n">
        <v>335</v>
      </c>
      <c r="C13" s="8" t="s">
        <v>44</v>
      </c>
      <c r="D13" s="9" t="n">
        <f aca="false">SUMIFS(Plant_Quarter!$G$2:$G$85,Plant_Quarter!$A$2:$A$85,$A13,Plant_Quarter!$B$2:$B$85,"2025/Q4")</f>
        <v>82</v>
      </c>
      <c r="E13" s="9" t="n">
        <f aca="false">SUMIFS(Plant_Quarter!$G$2:$G$85,Plant_Quarter!$A$2:$A$85,$A13,Plant_Quarter!$B$2:$B$85,"2026/Q1")</f>
        <v>79.78</v>
      </c>
      <c r="F13" s="9" t="n">
        <f aca="false">SUMIFS(Plant_Quarter!$G$2:$G$85,Plant_Quarter!$A$2:$A$85,$A13,Plant_Quarter!$B$2:$B$85,"2026/Q2")</f>
        <v>135.18</v>
      </c>
      <c r="G13" s="10" t="n">
        <f aca="false">F13-E13</f>
        <v>55.4</v>
      </c>
      <c r="H13" s="10" t="n">
        <f aca="false">E13-D13</f>
        <v>-2.22</v>
      </c>
    </row>
    <row r="14" customFormat="false" ht="15" hidden="false" customHeight="false" outlineLevel="0" collapsed="false">
      <c r="A14" s="6" t="s">
        <v>57</v>
      </c>
      <c r="B14" s="7" t="n">
        <v>335</v>
      </c>
      <c r="C14" s="8" t="s">
        <v>44</v>
      </c>
      <c r="D14" s="9" t="n">
        <f aca="false">SUMIFS(Plant_Quarter!$G$2:$G$85,Plant_Quarter!$A$2:$A$85,$A14,Plant_Quarter!$B$2:$B$85,"2025/Q4")</f>
        <v>88.84</v>
      </c>
      <c r="E14" s="9" t="n">
        <f aca="false">SUMIFS(Plant_Quarter!$G$2:$G$85,Plant_Quarter!$A$2:$A$85,$A14,Plant_Quarter!$B$2:$B$85,"2026/Q1")</f>
        <v>83.08</v>
      </c>
      <c r="F14" s="9" t="n">
        <f aca="false">SUMIFS(Plant_Quarter!$G$2:$G$85,Plant_Quarter!$A$2:$A$85,$A14,Plant_Quarter!$B$2:$B$85,"2026/Q2")</f>
        <v>136.33</v>
      </c>
      <c r="G14" s="10" t="n">
        <f aca="false">F14-E14</f>
        <v>53.25</v>
      </c>
      <c r="H14" s="10" t="n">
        <f aca="false">E14-D14</f>
        <v>-5.76000000000001</v>
      </c>
    </row>
    <row r="15" customFormat="false" ht="15" hidden="false" customHeight="false" outlineLevel="0" collapsed="false">
      <c r="A15" s="6" t="s">
        <v>58</v>
      </c>
      <c r="B15" s="7" t="n">
        <v>1320</v>
      </c>
      <c r="C15" s="8" t="s">
        <v>44</v>
      </c>
      <c r="D15" s="9" t="n">
        <f aca="false">SUMIFS(Plant_Quarter!$G$2:$G$85,Plant_Quarter!$A$2:$A$85,$A15,Plant_Quarter!$B$2:$B$85,"2025/Q4")</f>
        <v>584.27</v>
      </c>
      <c r="E15" s="9" t="n">
        <f aca="false">SUMIFS(Plant_Quarter!$G$2:$G$85,Plant_Quarter!$A$2:$A$85,$A15,Plant_Quarter!$B$2:$B$85,"2026/Q1")</f>
        <v>518.01</v>
      </c>
      <c r="F15" s="9" t="n">
        <f aca="false">SUMIFS(Plant_Quarter!$G$2:$G$85,Plant_Quarter!$A$2:$A$85,$A15,Plant_Quarter!$B$2:$B$85,"2026/Q2")</f>
        <v>470.94</v>
      </c>
      <c r="G15" s="10" t="n">
        <f aca="false">F15-E15</f>
        <v>-47.07</v>
      </c>
      <c r="H15" s="10" t="n">
        <f aca="false">E15-D15</f>
        <v>-66.26</v>
      </c>
    </row>
    <row r="16" customFormat="false" ht="15" hidden="false" customHeight="false" outlineLevel="0" collapsed="false">
      <c r="A16" s="6" t="s">
        <v>59</v>
      </c>
      <c r="B16" s="7" t="n">
        <v>435</v>
      </c>
      <c r="C16" s="8" t="s">
        <v>44</v>
      </c>
      <c r="D16" s="9" t="n">
        <f aca="false">SUMIFS(Plant_Quarter!$G$2:$G$85,Plant_Quarter!$A$2:$A$85,$A16,Plant_Quarter!$B$2:$B$85,"2025/Q4")</f>
        <v>80.89</v>
      </c>
      <c r="E16" s="9" t="n">
        <f aca="false">SUMIFS(Plant_Quarter!$G$2:$G$85,Plant_Quarter!$A$2:$A$85,$A16,Plant_Quarter!$B$2:$B$85,"2026/Q1")</f>
        <v>98.26</v>
      </c>
      <c r="F16" s="9" t="n">
        <f aca="false">SUMIFS(Plant_Quarter!$G$2:$G$85,Plant_Quarter!$A$2:$A$85,$A16,Plant_Quarter!$B$2:$B$85,"2026/Q2")</f>
        <v>81.46</v>
      </c>
      <c r="G16" s="10" t="n">
        <f aca="false">F16-E16</f>
        <v>-16.8</v>
      </c>
      <c r="H16" s="10" t="n">
        <f aca="false">E16-D16</f>
        <v>17.37</v>
      </c>
    </row>
    <row r="17" customFormat="false" ht="15" hidden="false" customHeight="false" outlineLevel="0" collapsed="false">
      <c r="A17" s="6" t="s">
        <v>60</v>
      </c>
      <c r="B17" s="7" t="n">
        <v>625</v>
      </c>
      <c r="C17" s="8" t="s">
        <v>44</v>
      </c>
      <c r="D17" s="9" t="n">
        <f aca="false">SUMIFS(Plant_Quarter!$G$2:$G$85,Plant_Quarter!$A$2:$A$85,$A17,Plant_Quarter!$B$2:$B$85,"2025/Q4")</f>
        <v>126.59</v>
      </c>
      <c r="E17" s="9" t="n">
        <f aca="false">SUMIFS(Plant_Quarter!$G$2:$G$85,Plant_Quarter!$A$2:$A$85,$A17,Plant_Quarter!$B$2:$B$85,"2026/Q1")</f>
        <v>133.23</v>
      </c>
      <c r="F17" s="9" t="n">
        <f aca="false">SUMIFS(Plant_Quarter!$G$2:$G$85,Plant_Quarter!$A$2:$A$85,$A17,Plant_Quarter!$B$2:$B$85,"2026/Q2")</f>
        <v>119.47</v>
      </c>
      <c r="G17" s="10" t="n">
        <f aca="false">F17-E17</f>
        <v>-13.76</v>
      </c>
      <c r="H17" s="10" t="n">
        <f aca="false">E17-D17</f>
        <v>6.63999999999999</v>
      </c>
    </row>
    <row r="18" customFormat="false" ht="15" hidden="false" customHeight="false" outlineLevel="0" collapsed="false">
      <c r="A18" s="6" t="s">
        <v>61</v>
      </c>
      <c r="B18" s="7" t="n">
        <v>150</v>
      </c>
      <c r="C18" s="8" t="s">
        <v>44</v>
      </c>
      <c r="D18" s="9" t="n">
        <f aca="false">SUMIFS(Plant_Quarter!$G$2:$G$85,Plant_Quarter!$A$2:$A$85,$A18,Plant_Quarter!$B$2:$B$85,"2025/Q4")</f>
        <v>33.45</v>
      </c>
      <c r="E18" s="9" t="n">
        <f aca="false">SUMIFS(Plant_Quarter!$G$2:$G$85,Plant_Quarter!$A$2:$A$85,$A18,Plant_Quarter!$B$2:$B$85,"2026/Q1")</f>
        <v>27.89</v>
      </c>
      <c r="F18" s="9" t="n">
        <f aca="false">SUMIFS(Plant_Quarter!$G$2:$G$85,Plant_Quarter!$A$2:$A$85,$A18,Plant_Quarter!$B$2:$B$85,"2026/Q2")</f>
        <v>28.44</v>
      </c>
      <c r="G18" s="10" t="n">
        <f aca="false">F18-E18</f>
        <v>0.550000000000001</v>
      </c>
      <c r="H18" s="10" t="n">
        <f aca="false">E18-D18</f>
        <v>-5.56</v>
      </c>
    </row>
    <row r="19" customFormat="false" ht="15" hidden="false" customHeight="false" outlineLevel="0" collapsed="false">
      <c r="A19" s="6" t="s">
        <v>62</v>
      </c>
      <c r="B19" s="7" t="n">
        <v>500</v>
      </c>
      <c r="C19" s="8" t="s">
        <v>44</v>
      </c>
      <c r="D19" s="9" t="n">
        <f aca="false">SUMIFS(Plant_Quarter!$G$2:$G$85,Plant_Quarter!$A$2:$A$85,$A19,Plant_Quarter!$B$2:$B$85,"2025/Q4")</f>
        <v>19.32</v>
      </c>
      <c r="E19" s="9" t="n">
        <f aca="false">SUMIFS(Plant_Quarter!$G$2:$G$85,Plant_Quarter!$A$2:$A$85,$A19,Plant_Quarter!$B$2:$B$85,"2026/Q1")</f>
        <v>54.25</v>
      </c>
      <c r="F19" s="9" t="n">
        <f aca="false">SUMIFS(Plant_Quarter!$G$2:$G$85,Plant_Quarter!$A$2:$A$85,$A19,Plant_Quarter!$B$2:$B$85,"2026/Q2")</f>
        <v>61.37</v>
      </c>
      <c r="G19" s="10" t="n">
        <f aca="false">F19-E19</f>
        <v>7.12</v>
      </c>
      <c r="H19" s="10" t="n">
        <f aca="false">E19-D19</f>
        <v>34.93</v>
      </c>
    </row>
    <row r="20" customFormat="false" ht="15" hidden="false" customHeight="false" outlineLevel="0" collapsed="false">
      <c r="A20" s="6" t="s">
        <v>63</v>
      </c>
      <c r="B20" s="7" t="n">
        <v>500</v>
      </c>
      <c r="C20" s="8" t="s">
        <v>44</v>
      </c>
      <c r="D20" s="9" t="n">
        <f aca="false">SUMIFS(Plant_Quarter!$G$2:$G$85,Plant_Quarter!$A$2:$A$85,$A20,Plant_Quarter!$B$2:$B$85,"2025/Q4")</f>
        <v>22.19</v>
      </c>
      <c r="E20" s="9" t="n">
        <f aca="false">SUMIFS(Plant_Quarter!$G$2:$G$85,Plant_Quarter!$A$2:$A$85,$A20,Plant_Quarter!$B$2:$B$85,"2026/Q1")</f>
        <v>26.98</v>
      </c>
      <c r="F20" s="9" t="n">
        <f aca="false">SUMIFS(Plant_Quarter!$G$2:$G$85,Plant_Quarter!$A$2:$A$85,$A20,Plant_Quarter!$B$2:$B$85,"2026/Q2")</f>
        <v>58.68</v>
      </c>
      <c r="G20" s="10" t="n">
        <f aca="false">F20-E20</f>
        <v>31.7</v>
      </c>
      <c r="H20" s="10" t="n">
        <f aca="false">E20-D20</f>
        <v>4.79</v>
      </c>
    </row>
    <row r="21" customFormat="false" ht="15" hidden="false" customHeight="false" outlineLevel="0" collapsed="false">
      <c r="A21" s="6" t="s">
        <v>64</v>
      </c>
      <c r="B21" s="7" t="n">
        <v>100</v>
      </c>
      <c r="C21" s="8" t="s">
        <v>44</v>
      </c>
      <c r="D21" s="9" t="n">
        <f aca="false">SUMIFS(Plant_Quarter!$G$2:$G$85,Plant_Quarter!$A$2:$A$85,$A21,Plant_Quarter!$B$2:$B$85,"2025/Q4")</f>
        <v>7.82</v>
      </c>
      <c r="E21" s="9" t="n">
        <f aca="false">SUMIFS(Plant_Quarter!$G$2:$G$85,Plant_Quarter!$A$2:$A$85,$A21,Plant_Quarter!$B$2:$B$85,"2026/Q1")</f>
        <v>9.95</v>
      </c>
      <c r="F21" s="9" t="n">
        <f aca="false">SUMIFS(Plant_Quarter!$G$2:$G$85,Plant_Quarter!$A$2:$A$85,$A21,Plant_Quarter!$B$2:$B$85,"2026/Q2")</f>
        <v>21.55</v>
      </c>
      <c r="G21" s="10" t="n">
        <f aca="false">F21-E21</f>
        <v>11.6</v>
      </c>
      <c r="H21" s="10" t="n">
        <f aca="false">E21-D21</f>
        <v>2.13</v>
      </c>
    </row>
    <row r="22" customFormat="false" ht="15" hidden="false" customHeight="false" outlineLevel="0" collapsed="false">
      <c r="A22" s="6" t="s">
        <v>65</v>
      </c>
      <c r="B22" s="7" t="n">
        <v>190</v>
      </c>
      <c r="C22" s="8" t="s">
        <v>44</v>
      </c>
      <c r="D22" s="9" t="n">
        <f aca="false">SUMIFS(Plant_Quarter!$G$2:$G$85,Plant_Quarter!$A$2:$A$85,$A22,Plant_Quarter!$B$2:$B$85,"2025/Q4")</f>
        <v>1.5</v>
      </c>
      <c r="E22" s="9" t="n">
        <f aca="false">SUMIFS(Plant_Quarter!$G$2:$G$85,Plant_Quarter!$A$2:$A$85,$A22,Plant_Quarter!$B$2:$B$85,"2026/Q1")</f>
        <v>5.15</v>
      </c>
      <c r="F22" s="9" t="n">
        <f aca="false">SUMIFS(Plant_Quarter!$G$2:$G$85,Plant_Quarter!$A$2:$A$85,$A22,Plant_Quarter!$B$2:$B$85,"2026/Q2")</f>
        <v>11.85</v>
      </c>
      <c r="G22" s="10" t="n">
        <f aca="false">F22-E22</f>
        <v>6.7</v>
      </c>
      <c r="H22" s="10" t="n">
        <f aca="false">E22-D22</f>
        <v>3.65</v>
      </c>
    </row>
    <row r="23" customFormat="false" ht="15" hidden="false" customHeight="false" outlineLevel="0" collapsed="false">
      <c r="A23" s="6" t="s">
        <v>66</v>
      </c>
      <c r="B23" s="7" t="n">
        <v>750</v>
      </c>
      <c r="C23" s="8" t="s">
        <v>44</v>
      </c>
      <c r="D23" s="9" t="n">
        <f aca="false">SUMIFS(Plant_Quarter!$G$2:$G$85,Plant_Quarter!$A$2:$A$85,$A23,Plant_Quarter!$B$2:$B$85,"2025/Q4")</f>
        <v>46.97</v>
      </c>
      <c r="E23" s="9" t="n">
        <f aca="false">SUMIFS(Plant_Quarter!$G$2:$G$85,Plant_Quarter!$A$2:$A$85,$A23,Plant_Quarter!$B$2:$B$85,"2026/Q1")</f>
        <v>103.94</v>
      </c>
      <c r="F23" s="9" t="n">
        <f aca="false">SUMIFS(Plant_Quarter!$G$2:$G$85,Plant_Quarter!$A$2:$A$85,$A23,Plant_Quarter!$B$2:$B$85,"2026/Q2")</f>
        <v>53.85</v>
      </c>
      <c r="G23" s="10" t="n">
        <f aca="false">F23-E23</f>
        <v>-50.09</v>
      </c>
      <c r="H23" s="10" t="n">
        <f aca="false">E23-D23</f>
        <v>56.97</v>
      </c>
    </row>
    <row r="24" customFormat="false" ht="15" hidden="false" customHeight="false" outlineLevel="0" collapsed="false">
      <c r="A24" s="6" t="s">
        <v>67</v>
      </c>
      <c r="B24" s="7" t="n">
        <v>180</v>
      </c>
      <c r="C24" s="8" t="s">
        <v>44</v>
      </c>
      <c r="D24" s="9" t="n">
        <f aca="false">SUMIFS(Plant_Quarter!$G$2:$G$85,Plant_Quarter!$A$2:$A$85,$A24,Plant_Quarter!$B$2:$B$85,"2025/Q4")</f>
        <v>44.74</v>
      </c>
      <c r="E24" s="9" t="n">
        <f aca="false">SUMIFS(Plant_Quarter!$G$2:$G$85,Plant_Quarter!$A$2:$A$85,$A24,Plant_Quarter!$B$2:$B$85,"2026/Q1")</f>
        <v>2.04</v>
      </c>
      <c r="F24" s="9" t="n">
        <f aca="false">SUMIFS(Plant_Quarter!$G$2:$G$85,Plant_Quarter!$A$2:$A$85,$A24,Plant_Quarter!$B$2:$B$85,"2026/Q2")</f>
        <v>8.88</v>
      </c>
      <c r="G24" s="10" t="n">
        <f aca="false">F24-E24</f>
        <v>6.84</v>
      </c>
      <c r="H24" s="10" t="n">
        <f aca="false">E24-D24</f>
        <v>-42.7</v>
      </c>
    </row>
    <row r="25" customFormat="false" ht="15" hidden="false" customHeight="false" outlineLevel="0" collapsed="false">
      <c r="A25" s="6" t="s">
        <v>68</v>
      </c>
      <c r="B25" s="7" t="n">
        <v>500</v>
      </c>
      <c r="C25" s="8" t="s">
        <v>44</v>
      </c>
      <c r="D25" s="9" t="n">
        <f aca="false">SUMIFS(Plant_Quarter!$G$2:$G$85,Plant_Quarter!$A$2:$A$85,$A25,Plant_Quarter!$B$2:$B$85,"2025/Q4")</f>
        <v>0</v>
      </c>
      <c r="E25" s="9" t="n">
        <f aca="false">SUMIFS(Plant_Quarter!$G$2:$G$85,Plant_Quarter!$A$2:$A$85,$A25,Plant_Quarter!$B$2:$B$85,"2026/Q1")</f>
        <v>0</v>
      </c>
      <c r="F25" s="9" t="n">
        <f aca="false">SUMIFS(Plant_Quarter!$G$2:$G$85,Plant_Quarter!$A$2:$A$85,$A25,Plant_Quarter!$B$2:$B$85,"2026/Q2")</f>
        <v>14.32</v>
      </c>
      <c r="G25" s="10" t="n">
        <f aca="false">F25-E25</f>
        <v>14.32</v>
      </c>
      <c r="H25" s="10" t="n">
        <f aca="false">E25-D25</f>
        <v>0</v>
      </c>
    </row>
    <row r="26" customFormat="false" ht="15" hidden="false" customHeight="false" outlineLevel="0" collapsed="false">
      <c r="A26" s="6" t="s">
        <v>69</v>
      </c>
      <c r="B26" s="7" t="n">
        <v>500</v>
      </c>
      <c r="C26" s="8" t="s">
        <v>44</v>
      </c>
      <c r="D26" s="9" t="n">
        <f aca="false">SUMIFS(Plant_Quarter!$G$2:$G$85,Plant_Quarter!$A$2:$A$85,$A26,Plant_Quarter!$B$2:$B$85,"2025/Q4")</f>
        <v>73.66</v>
      </c>
      <c r="E26" s="9" t="n">
        <f aca="false">SUMIFS(Plant_Quarter!$G$2:$G$85,Plant_Quarter!$A$2:$A$85,$A26,Plant_Quarter!$B$2:$B$85,"2026/Q1")</f>
        <v>42.86</v>
      </c>
      <c r="F26" s="9" t="n">
        <f aca="false">SUMIFS(Plant_Quarter!$G$2:$G$85,Plant_Quarter!$A$2:$A$85,$A26,Plant_Quarter!$B$2:$B$85,"2026/Q2")</f>
        <v>3.46</v>
      </c>
      <c r="G26" s="10" t="n">
        <f aca="false">F26-E26</f>
        <v>-39.4</v>
      </c>
      <c r="H26" s="10" t="n">
        <f aca="false">E26-D26</f>
        <v>-30.8</v>
      </c>
    </row>
    <row r="27" customFormat="false" ht="15" hidden="false" customHeight="false" outlineLevel="0" collapsed="false">
      <c r="A27" s="6" t="s">
        <v>70</v>
      </c>
      <c r="B27" s="7" t="n">
        <v>726</v>
      </c>
      <c r="C27" s="8" t="s">
        <v>44</v>
      </c>
      <c r="D27" s="9" t="n">
        <f aca="false">SUMIFS(Plant_Quarter!$G$2:$G$85,Plant_Quarter!$A$2:$A$85,$A27,Plant_Quarter!$B$2:$B$85,"2025/Q4")</f>
        <v>95.03</v>
      </c>
      <c r="E27" s="9" t="n">
        <f aca="false">SUMIFS(Plant_Quarter!$G$2:$G$85,Plant_Quarter!$A$2:$A$85,$A27,Plant_Quarter!$B$2:$B$85,"2026/Q1")</f>
        <v>58.42</v>
      </c>
      <c r="F27" s="9" t="n">
        <f aca="false">SUMIFS(Plant_Quarter!$G$2:$G$85,Plant_Quarter!$A$2:$A$85,$A27,Plant_Quarter!$B$2:$B$85,"2026/Q2")</f>
        <v>25.72</v>
      </c>
      <c r="G27" s="10" t="n">
        <f aca="false">F27-E27</f>
        <v>-32.7</v>
      </c>
      <c r="H27" s="10" t="n">
        <f aca="false">E27-D27</f>
        <v>-36.61</v>
      </c>
    </row>
    <row r="28" customFormat="false" ht="15" hidden="false" customHeight="false" outlineLevel="0" collapsed="false">
      <c r="A28" s="6" t="s">
        <v>71</v>
      </c>
      <c r="B28" s="7" t="n">
        <v>720</v>
      </c>
      <c r="C28" s="8" t="s">
        <v>44</v>
      </c>
      <c r="D28" s="9" t="n">
        <f aca="false">SUMIFS(Plant_Quarter!$G$2:$G$85,Plant_Quarter!$A$2:$A$85,$A28,Plant_Quarter!$B$2:$B$85,"2025/Q4")</f>
        <v>19.16</v>
      </c>
      <c r="E28" s="9" t="n">
        <f aca="false">SUMIFS(Plant_Quarter!$G$2:$G$85,Plant_Quarter!$A$2:$A$85,$A28,Plant_Quarter!$B$2:$B$85,"2026/Q1")</f>
        <v>14.59</v>
      </c>
      <c r="F28" s="9" t="n">
        <f aca="false">SUMIFS(Plant_Quarter!$G$2:$G$85,Plant_Quarter!$A$2:$A$85,$A28,Plant_Quarter!$B$2:$B$85,"2026/Q2")</f>
        <v>11.17</v>
      </c>
      <c r="G28" s="10" t="n">
        <f aca="false">F28-E28</f>
        <v>-3.42</v>
      </c>
      <c r="H28" s="10" t="n">
        <f aca="false">E28-D28</f>
        <v>-4.57</v>
      </c>
    </row>
    <row r="29" customFormat="false" ht="15" hidden="false" customHeight="false" outlineLevel="0" collapsed="false">
      <c r="A29" s="6" t="s">
        <v>72</v>
      </c>
      <c r="B29" s="7" t="n">
        <v>435</v>
      </c>
      <c r="C29" s="8" t="s">
        <v>44</v>
      </c>
      <c r="D29" s="9" t="n">
        <f aca="false">SUMIFS(Plant_Quarter!$G$2:$G$85,Plant_Quarter!$A$2:$A$85,$A29,Plant_Quarter!$B$2:$B$85,"2025/Q4")</f>
        <v>220.9</v>
      </c>
      <c r="E29" s="9" t="n">
        <f aca="false">SUMIFS(Plant_Quarter!$G$2:$G$85,Plant_Quarter!$A$2:$A$85,$A29,Plant_Quarter!$B$2:$B$85,"2026/Q1")</f>
        <v>82.38</v>
      </c>
      <c r="F29" s="9" t="n">
        <f aca="false">SUMIFS(Plant_Quarter!$G$2:$G$85,Plant_Quarter!$A$2:$A$85,$A29,Plant_Quarter!$B$2:$B$85,"2026/Q2")</f>
        <v>2.11</v>
      </c>
      <c r="G29" s="10" t="n">
        <f aca="false">F29-E29</f>
        <v>-80.27</v>
      </c>
      <c r="H29" s="10" t="n">
        <f aca="false">E29-D29</f>
        <v>-138.52</v>
      </c>
    </row>
    <row r="30" customFormat="false" ht="15" hidden="false" customHeight="false" outlineLevel="0" collapsed="false">
      <c r="A30" s="11" t="s">
        <v>73</v>
      </c>
      <c r="B30" s="12" t="n">
        <f aca="false">SUM(B2:B29)</f>
        <v>13625</v>
      </c>
      <c r="C30" s="11"/>
      <c r="D30" s="13" t="n">
        <f aca="false">SUM(D2:D29)</f>
        <v>4452.7</v>
      </c>
      <c r="E30" s="13" t="n">
        <f aca="false">SUM(E2:E29)</f>
        <v>4112.73</v>
      </c>
      <c r="F30" s="13" t="n">
        <f aca="false">SUM(F2:F29)</f>
        <v>4022.41</v>
      </c>
      <c r="G30" s="13" t="n">
        <f aca="false">SUM(G2:G29)</f>
        <v>-90.3199999999999</v>
      </c>
      <c r="H30" s="13" t="n">
        <f aca="false">SUM(H2:H29)</f>
        <v>-339.97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42" hidden="false" customHeight="true" outlineLevel="0" collapsed="false">
      <c r="A1" s="5" t="s">
        <v>35</v>
      </c>
      <c r="B1" s="5" t="s">
        <v>74</v>
      </c>
      <c r="C1" s="5" t="s">
        <v>37</v>
      </c>
      <c r="D1" s="5" t="s">
        <v>36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</row>
    <row r="2" customFormat="false" ht="15" hidden="false" customHeight="false" outlineLevel="0" collapsed="false">
      <c r="A2" s="6" t="s">
        <v>43</v>
      </c>
      <c r="B2" s="6" t="s">
        <v>81</v>
      </c>
      <c r="C2" s="14" t="str">
        <f aca="false">INDEX(Plants!$C$2:$C$29,MATCH(A2,Plants!$A$2:$A$29,0))</f>
        <v>Thermal</v>
      </c>
      <c r="D2" s="15" t="n">
        <f aca="false">INDEX(Plants!$B$2:$B$29,MATCH(A2,Plants!$A$2:$A$29,0))</f>
        <v>461</v>
      </c>
      <c r="E2" s="16" t="n">
        <v>441.68</v>
      </c>
      <c r="F2" s="17" t="n">
        <v>95.81</v>
      </c>
      <c r="G2" s="16" t="n">
        <v>402.46</v>
      </c>
      <c r="H2" s="18" t="n">
        <f aca="false">E2/D2*100</f>
        <v>95.8091106290673</v>
      </c>
      <c r="I2" s="18" t="n">
        <f aca="false">H2-F2</f>
        <v>-0.000889370932753764</v>
      </c>
      <c r="J2" s="19" t="n">
        <f aca="false">IF(E2=0,0,G2/E2*100)</f>
        <v>91.1202680673791</v>
      </c>
    </row>
    <row r="3" customFormat="false" ht="15" hidden="false" customHeight="false" outlineLevel="0" collapsed="false">
      <c r="A3" s="6" t="s">
        <v>43</v>
      </c>
      <c r="B3" s="6" t="s">
        <v>82</v>
      </c>
      <c r="C3" s="14" t="str">
        <f aca="false">INDEX(Plants!$C$2:$C$29,MATCH(A3,Plants!$A$2:$A$29,0))</f>
        <v>Thermal</v>
      </c>
      <c r="D3" s="15" t="n">
        <f aca="false">INDEX(Plants!$B$2:$B$29,MATCH(A3,Plants!$A$2:$A$29,0))</f>
        <v>461</v>
      </c>
      <c r="E3" s="16" t="n">
        <v>453.95</v>
      </c>
      <c r="F3" s="17" t="n">
        <v>98.47</v>
      </c>
      <c r="G3" s="16" t="n">
        <v>419.74</v>
      </c>
      <c r="H3" s="18" t="n">
        <f aca="false">E3/D3*100</f>
        <v>98.470715835141</v>
      </c>
      <c r="I3" s="18" t="n">
        <f aca="false">H3-F3</f>
        <v>0.000715835140994159</v>
      </c>
      <c r="J3" s="19" t="n">
        <f aca="false">IF(E3=0,0,G3/E3*100)</f>
        <v>92.4639277453464</v>
      </c>
    </row>
    <row r="4" customFormat="false" ht="15" hidden="false" customHeight="false" outlineLevel="0" collapsed="false">
      <c r="A4" s="6" t="s">
        <v>43</v>
      </c>
      <c r="B4" s="6" t="s">
        <v>83</v>
      </c>
      <c r="C4" s="14" t="str">
        <f aca="false">INDEX(Plants!$C$2:$C$29,MATCH(A4,Plants!$A$2:$A$29,0))</f>
        <v>Thermal</v>
      </c>
      <c r="D4" s="15" t="n">
        <f aca="false">INDEX(Plants!$B$2:$B$29,MATCH(A4,Plants!$A$2:$A$29,0))</f>
        <v>461</v>
      </c>
      <c r="E4" s="16" t="n">
        <v>459.4</v>
      </c>
      <c r="F4" s="17" t="n">
        <v>99.65</v>
      </c>
      <c r="G4" s="16" t="n">
        <v>419.48</v>
      </c>
      <c r="H4" s="18" t="n">
        <f aca="false">E4/D4*100</f>
        <v>99.6529284164859</v>
      </c>
      <c r="I4" s="18" t="n">
        <f aca="false">H4-F4</f>
        <v>0.00292841648588649</v>
      </c>
      <c r="J4" s="19" t="n">
        <f aca="false">IF(E4=0,0,G4/E4*100)</f>
        <v>91.3104048759251</v>
      </c>
    </row>
    <row r="5" customFormat="false" ht="15" hidden="false" customHeight="false" outlineLevel="0" collapsed="false">
      <c r="A5" s="6" t="s">
        <v>45</v>
      </c>
      <c r="B5" s="6" t="s">
        <v>81</v>
      </c>
      <c r="C5" s="14" t="str">
        <f aca="false">INDEX(Plants!$C$2:$C$29,MATCH(A5,Plants!$A$2:$A$29,0))</f>
        <v>Thermal</v>
      </c>
      <c r="D5" s="15" t="n">
        <f aca="false">INDEX(Plants!$B$2:$B$29,MATCH(A5,Plants!$A$2:$A$29,0))</f>
        <v>110</v>
      </c>
      <c r="E5" s="16" t="n">
        <v>110</v>
      </c>
      <c r="F5" s="17" t="n">
        <v>100</v>
      </c>
      <c r="G5" s="16" t="n">
        <v>90.79</v>
      </c>
      <c r="H5" s="18" t="n">
        <f aca="false">E5/D5*100</f>
        <v>100</v>
      </c>
      <c r="I5" s="18" t="n">
        <f aca="false">H5-F5</f>
        <v>0</v>
      </c>
      <c r="J5" s="19" t="n">
        <f aca="false">IF(E5=0,0,G5/E5*100)</f>
        <v>82.5363636363637</v>
      </c>
    </row>
    <row r="6" customFormat="false" ht="15" hidden="false" customHeight="false" outlineLevel="0" collapsed="false">
      <c r="A6" s="6" t="s">
        <v>45</v>
      </c>
      <c r="B6" s="6" t="s">
        <v>82</v>
      </c>
      <c r="C6" s="14" t="str">
        <f aca="false">INDEX(Plants!$C$2:$C$29,MATCH(A6,Plants!$A$2:$A$29,0))</f>
        <v>Thermal</v>
      </c>
      <c r="D6" s="15" t="n">
        <f aca="false">INDEX(Plants!$B$2:$B$29,MATCH(A6,Plants!$A$2:$A$29,0))</f>
        <v>110</v>
      </c>
      <c r="E6" s="16" t="n">
        <v>107.48</v>
      </c>
      <c r="F6" s="17" t="n">
        <v>97.71</v>
      </c>
      <c r="G6" s="16" t="n">
        <v>81.46</v>
      </c>
      <c r="H6" s="18" t="n">
        <f aca="false">E6/D6*100</f>
        <v>97.7090909090909</v>
      </c>
      <c r="I6" s="18" t="n">
        <f aca="false">H6-F6</f>
        <v>-0.000909090909075871</v>
      </c>
      <c r="J6" s="19" t="n">
        <f aca="false">IF(E6=0,0,G6/E6*100)</f>
        <v>75.7908448083364</v>
      </c>
    </row>
    <row r="7" customFormat="false" ht="15" hidden="false" customHeight="false" outlineLevel="0" collapsed="false">
      <c r="A7" s="6" t="s">
        <v>45</v>
      </c>
      <c r="B7" s="6" t="s">
        <v>83</v>
      </c>
      <c r="C7" s="14" t="str">
        <f aca="false">INDEX(Plants!$C$2:$C$29,MATCH(A7,Plants!$A$2:$A$29,0))</f>
        <v>Thermal</v>
      </c>
      <c r="D7" s="15" t="n">
        <f aca="false">INDEX(Plants!$B$2:$B$29,MATCH(A7,Plants!$A$2:$A$29,0))</f>
        <v>110</v>
      </c>
      <c r="E7" s="16" t="n">
        <v>108.97</v>
      </c>
      <c r="F7" s="17" t="n">
        <v>99.06</v>
      </c>
      <c r="G7" s="16" t="n">
        <v>90.26</v>
      </c>
      <c r="H7" s="18" t="n">
        <f aca="false">E7/D7*100</f>
        <v>99.0636363636364</v>
      </c>
      <c r="I7" s="18" t="n">
        <f aca="false">H7-F7</f>
        <v>0.00363636363636033</v>
      </c>
      <c r="J7" s="19" t="n">
        <f aca="false">IF(E7=0,0,G7/E7*100)</f>
        <v>82.8301367348812</v>
      </c>
    </row>
    <row r="8" customFormat="false" ht="15" hidden="false" customHeight="false" outlineLevel="0" collapsed="false">
      <c r="A8" s="6" t="s">
        <v>46</v>
      </c>
      <c r="B8" s="6" t="s">
        <v>81</v>
      </c>
      <c r="C8" s="14" t="str">
        <f aca="false">INDEX(Plants!$C$2:$C$29,MATCH(A8,Plants!$A$2:$A$29,0))</f>
        <v>Hydro</v>
      </c>
      <c r="D8" s="15" t="n">
        <f aca="false">INDEX(Plants!$B$2:$B$29,MATCH(A8,Plants!$A$2:$A$29,0))</f>
        <v>578</v>
      </c>
      <c r="E8" s="16" t="n">
        <v>538.42</v>
      </c>
      <c r="F8" s="17" t="n">
        <v>93.15</v>
      </c>
      <c r="G8" s="16" t="n">
        <v>405.91</v>
      </c>
      <c r="H8" s="18" t="n">
        <f aca="false">E8/D8*100</f>
        <v>93.1522491349481</v>
      </c>
      <c r="I8" s="18" t="n">
        <f aca="false">H8-F8</f>
        <v>0.00224913494808732</v>
      </c>
      <c r="J8" s="19" t="n">
        <f aca="false">IF(E8=0,0,G8/E8*100)</f>
        <v>75.3891014449686</v>
      </c>
    </row>
    <row r="9" customFormat="false" ht="15" hidden="false" customHeight="false" outlineLevel="0" collapsed="false">
      <c r="A9" s="6" t="s">
        <v>46</v>
      </c>
      <c r="B9" s="6" t="s">
        <v>82</v>
      </c>
      <c r="C9" s="14" t="str">
        <f aca="false">INDEX(Plants!$C$2:$C$29,MATCH(A9,Plants!$A$2:$A$29,0))</f>
        <v>Hydro</v>
      </c>
      <c r="D9" s="15" t="n">
        <f aca="false">INDEX(Plants!$B$2:$B$29,MATCH(A9,Plants!$A$2:$A$29,0))</f>
        <v>578</v>
      </c>
      <c r="E9" s="16" t="n">
        <v>417.78</v>
      </c>
      <c r="F9" s="17" t="n">
        <v>72.28</v>
      </c>
      <c r="G9" s="16" t="n">
        <v>400.09</v>
      </c>
      <c r="H9" s="18" t="n">
        <f aca="false">E9/D9*100</f>
        <v>72.280276816609</v>
      </c>
      <c r="I9" s="18" t="n">
        <f aca="false">H9-F9</f>
        <v>0.000276816608987929</v>
      </c>
      <c r="J9" s="19" t="n">
        <f aca="false">IF(E9=0,0,G9/E9*100)</f>
        <v>95.7657140121595</v>
      </c>
    </row>
    <row r="10" customFormat="false" ht="15" hidden="false" customHeight="false" outlineLevel="0" collapsed="false">
      <c r="A10" s="6" t="s">
        <v>46</v>
      </c>
      <c r="B10" s="6" t="s">
        <v>83</v>
      </c>
      <c r="C10" s="14" t="str">
        <f aca="false">INDEX(Plants!$C$2:$C$29,MATCH(A10,Plants!$A$2:$A$29,0))</f>
        <v>Hydro</v>
      </c>
      <c r="D10" s="15" t="n">
        <f aca="false">INDEX(Plants!$B$2:$B$29,MATCH(A10,Plants!$A$2:$A$29,0))</f>
        <v>578</v>
      </c>
      <c r="E10" s="16" t="n">
        <v>400.5</v>
      </c>
      <c r="F10" s="17" t="n">
        <v>69.29</v>
      </c>
      <c r="G10" s="16" t="n">
        <v>363.32</v>
      </c>
      <c r="H10" s="18" t="n">
        <f aca="false">E10/D10*100</f>
        <v>69.2906574394464</v>
      </c>
      <c r="I10" s="18" t="n">
        <f aca="false">H10-F10</f>
        <v>0.000657439446356989</v>
      </c>
      <c r="J10" s="19" t="n">
        <f aca="false">IF(E10=0,0,G10/E10*100)</f>
        <v>90.7166042446941</v>
      </c>
    </row>
    <row r="11" customFormat="false" ht="15" hidden="false" customHeight="false" outlineLevel="0" collapsed="false">
      <c r="A11" s="6" t="s">
        <v>48</v>
      </c>
      <c r="B11" s="6" t="s">
        <v>81</v>
      </c>
      <c r="C11" s="14" t="str">
        <f aca="false">INDEX(Plants!$C$2:$C$29,MATCH(A11,Plants!$A$2:$A$29,0))</f>
        <v>Hydro</v>
      </c>
      <c r="D11" s="15" t="n">
        <f aca="false">INDEX(Plants!$B$2:$B$29,MATCH(A11,Plants!$A$2:$A$29,0))</f>
        <v>760</v>
      </c>
      <c r="E11" s="16" t="n">
        <v>572.7</v>
      </c>
      <c r="F11" s="17" t="n">
        <v>75.36</v>
      </c>
      <c r="G11" s="16" t="n">
        <v>544.2</v>
      </c>
      <c r="H11" s="18" t="n">
        <f aca="false">E11/D11*100</f>
        <v>75.3552631578948</v>
      </c>
      <c r="I11" s="18" t="n">
        <f aca="false">H11-F11</f>
        <v>-0.00473684210524539</v>
      </c>
      <c r="J11" s="19" t="n">
        <f aca="false">IF(E11=0,0,G11/E11*100)</f>
        <v>95.0235725510739</v>
      </c>
    </row>
    <row r="12" customFormat="false" ht="15" hidden="false" customHeight="false" outlineLevel="0" collapsed="false">
      <c r="A12" s="6" t="s">
        <v>48</v>
      </c>
      <c r="B12" s="6" t="s">
        <v>82</v>
      </c>
      <c r="C12" s="14" t="str">
        <f aca="false">INDEX(Plants!$C$2:$C$29,MATCH(A12,Plants!$A$2:$A$29,0))</f>
        <v>Hydro</v>
      </c>
      <c r="D12" s="15" t="n">
        <f aca="false">INDEX(Plants!$B$2:$B$29,MATCH(A12,Plants!$A$2:$A$29,0))</f>
        <v>760</v>
      </c>
      <c r="E12" s="16" t="n">
        <v>539.37</v>
      </c>
      <c r="F12" s="17" t="n">
        <v>70.97</v>
      </c>
      <c r="G12" s="16" t="n">
        <v>528.02</v>
      </c>
      <c r="H12" s="18" t="n">
        <f aca="false">E12/D12*100</f>
        <v>70.9697368421053</v>
      </c>
      <c r="I12" s="18" t="n">
        <f aca="false">H12-F12</f>
        <v>-0.000263157894735855</v>
      </c>
      <c r="J12" s="19" t="n">
        <f aca="false">IF(E12=0,0,G12/E12*100)</f>
        <v>97.8956931234589</v>
      </c>
    </row>
    <row r="13" customFormat="false" ht="15" hidden="false" customHeight="false" outlineLevel="0" collapsed="false">
      <c r="A13" s="6" t="s">
        <v>48</v>
      </c>
      <c r="B13" s="6" t="s">
        <v>83</v>
      </c>
      <c r="C13" s="14" t="str">
        <f aca="false">INDEX(Plants!$C$2:$C$29,MATCH(A13,Plants!$A$2:$A$29,0))</f>
        <v>Hydro</v>
      </c>
      <c r="D13" s="15" t="n">
        <f aca="false">INDEX(Plants!$B$2:$B$29,MATCH(A13,Plants!$A$2:$A$29,0))</f>
        <v>760</v>
      </c>
      <c r="E13" s="16" t="n">
        <v>429.25</v>
      </c>
      <c r="F13" s="17" t="n">
        <v>56.48</v>
      </c>
      <c r="G13" s="16" t="n">
        <v>409.44</v>
      </c>
      <c r="H13" s="18" t="n">
        <f aca="false">E13/D13*100</f>
        <v>56.4802631578947</v>
      </c>
      <c r="I13" s="18" t="n">
        <f aca="false">H13-F13</f>
        <v>0.00026315789474296</v>
      </c>
      <c r="J13" s="19" t="n">
        <f aca="false">IF(E13=0,0,G13/E13*100)</f>
        <v>95.3849737914968</v>
      </c>
    </row>
    <row r="14" customFormat="false" ht="15" hidden="false" customHeight="false" outlineLevel="0" collapsed="false">
      <c r="A14" s="6" t="s">
        <v>49</v>
      </c>
      <c r="B14" s="6" t="s">
        <v>81</v>
      </c>
      <c r="C14" s="14" t="str">
        <f aca="false">INDEX(Plants!$C$2:$C$29,MATCH(A14,Plants!$A$2:$A$29,0))</f>
        <v>Thermal</v>
      </c>
      <c r="D14" s="15" t="n">
        <f aca="false">INDEX(Plants!$B$2:$B$29,MATCH(A14,Plants!$A$2:$A$29,0))</f>
        <v>480</v>
      </c>
      <c r="E14" s="16" t="n">
        <v>277.06</v>
      </c>
      <c r="F14" s="17" t="n">
        <v>57.72</v>
      </c>
      <c r="G14" s="16" t="n">
        <v>246.14</v>
      </c>
      <c r="H14" s="18" t="n">
        <f aca="false">E14/D14*100</f>
        <v>57.7208333333333</v>
      </c>
      <c r="I14" s="18" t="n">
        <f aca="false">H14-F14</f>
        <v>0.000833333333332575</v>
      </c>
      <c r="J14" s="19" t="n">
        <f aca="false">IF(E14=0,0,G14/E14*100)</f>
        <v>88.8399624630044</v>
      </c>
    </row>
    <row r="15" customFormat="false" ht="15" hidden="false" customHeight="false" outlineLevel="0" collapsed="false">
      <c r="A15" s="6" t="s">
        <v>49</v>
      </c>
      <c r="B15" s="6" t="s">
        <v>82</v>
      </c>
      <c r="C15" s="14" t="str">
        <f aca="false">INDEX(Plants!$C$2:$C$29,MATCH(A15,Plants!$A$2:$A$29,0))</f>
        <v>Thermal</v>
      </c>
      <c r="D15" s="15" t="n">
        <f aca="false">INDEX(Plants!$B$2:$B$29,MATCH(A15,Plants!$A$2:$A$29,0))</f>
        <v>480</v>
      </c>
      <c r="E15" s="16" t="n">
        <v>265.1</v>
      </c>
      <c r="F15" s="17" t="n">
        <v>55.23</v>
      </c>
      <c r="G15" s="16" t="n">
        <v>237.28</v>
      </c>
      <c r="H15" s="18" t="n">
        <f aca="false">E15/D15*100</f>
        <v>55.2291666666667</v>
      </c>
      <c r="I15" s="18" t="n">
        <f aca="false">H15-F15</f>
        <v>-0.00083333333332547</v>
      </c>
      <c r="J15" s="19" t="n">
        <f aca="false">IF(E15=0,0,G15/E15*100)</f>
        <v>89.5058468502452</v>
      </c>
    </row>
    <row r="16" customFormat="false" ht="15" hidden="false" customHeight="false" outlineLevel="0" collapsed="false">
      <c r="A16" s="6" t="s">
        <v>49</v>
      </c>
      <c r="B16" s="6" t="s">
        <v>83</v>
      </c>
      <c r="C16" s="14" t="str">
        <f aca="false">INDEX(Plants!$C$2:$C$29,MATCH(A16,Plants!$A$2:$A$29,0))</f>
        <v>Thermal</v>
      </c>
      <c r="D16" s="15" t="n">
        <f aca="false">INDEX(Plants!$B$2:$B$29,MATCH(A16,Plants!$A$2:$A$29,0))</f>
        <v>480</v>
      </c>
      <c r="E16" s="16" t="n">
        <v>261.84</v>
      </c>
      <c r="F16" s="17" t="n">
        <v>54.55</v>
      </c>
      <c r="G16" s="16" t="n">
        <v>219.85</v>
      </c>
      <c r="H16" s="18" t="n">
        <f aca="false">E16/D16*100</f>
        <v>54.55</v>
      </c>
      <c r="I16" s="18" t="n">
        <f aca="false">H16-F16</f>
        <v>0</v>
      </c>
      <c r="J16" s="19" t="n">
        <f aca="false">IF(E16=0,0,G16/E16*100)</f>
        <v>83.9634891536817</v>
      </c>
    </row>
    <row r="17" customFormat="false" ht="15" hidden="false" customHeight="false" outlineLevel="0" collapsed="false">
      <c r="A17" s="6" t="s">
        <v>50</v>
      </c>
      <c r="B17" s="6" t="s">
        <v>81</v>
      </c>
      <c r="C17" s="14" t="str">
        <f aca="false">INDEX(Plants!$C$2:$C$29,MATCH(A17,Plants!$A$2:$A$29,0))</f>
        <v>Hydro</v>
      </c>
      <c r="D17" s="15" t="n">
        <f aca="false">INDEX(Plants!$B$2:$B$29,MATCH(A17,Plants!$A$2:$A$29,0))</f>
        <v>40</v>
      </c>
      <c r="E17" s="16" t="n">
        <v>33.5</v>
      </c>
      <c r="F17" s="17" t="n">
        <v>83.74</v>
      </c>
      <c r="G17" s="16" t="n">
        <v>33.74</v>
      </c>
      <c r="H17" s="18" t="n">
        <f aca="false">E17/D17*100</f>
        <v>83.75</v>
      </c>
      <c r="I17" s="18" t="n">
        <f aca="false">H17-F17</f>
        <v>0.0100000000000051</v>
      </c>
      <c r="J17" s="19" t="n">
        <f aca="false">IF(E17=0,0,G17/E17*100)</f>
        <v>100.716417910448</v>
      </c>
    </row>
    <row r="18" customFormat="false" ht="15" hidden="false" customHeight="false" outlineLevel="0" collapsed="false">
      <c r="A18" s="6" t="s">
        <v>50</v>
      </c>
      <c r="B18" s="6" t="s">
        <v>82</v>
      </c>
      <c r="C18" s="14" t="str">
        <f aca="false">INDEX(Plants!$C$2:$C$29,MATCH(A18,Plants!$A$2:$A$29,0))</f>
        <v>Hydro</v>
      </c>
      <c r="D18" s="15" t="n">
        <f aca="false">INDEX(Plants!$B$2:$B$29,MATCH(A18,Plants!$A$2:$A$29,0))</f>
        <v>40</v>
      </c>
      <c r="E18" s="16" t="n">
        <v>17</v>
      </c>
      <c r="F18" s="17" t="n">
        <v>42.5</v>
      </c>
      <c r="G18" s="16" t="n">
        <v>17.05</v>
      </c>
      <c r="H18" s="18" t="n">
        <f aca="false">E18/D18*100</f>
        <v>42.5</v>
      </c>
      <c r="I18" s="18" t="n">
        <f aca="false">H18-F18</f>
        <v>0</v>
      </c>
      <c r="J18" s="19" t="n">
        <f aca="false">IF(E18=0,0,G18/E18*100)</f>
        <v>100.294117647059</v>
      </c>
    </row>
    <row r="19" customFormat="false" ht="15" hidden="false" customHeight="false" outlineLevel="0" collapsed="false">
      <c r="A19" s="6" t="s">
        <v>50</v>
      </c>
      <c r="B19" s="6" t="s">
        <v>83</v>
      </c>
      <c r="C19" s="14" t="str">
        <f aca="false">INDEX(Plants!$C$2:$C$29,MATCH(A19,Plants!$A$2:$A$29,0))</f>
        <v>Hydro</v>
      </c>
      <c r="D19" s="15" t="n">
        <f aca="false">INDEX(Plants!$B$2:$B$29,MATCH(A19,Plants!$A$2:$A$29,0))</f>
        <v>40</v>
      </c>
      <c r="E19" s="16" t="n">
        <v>20.24</v>
      </c>
      <c r="F19" s="17" t="n">
        <v>50.59</v>
      </c>
      <c r="G19" s="16" t="n">
        <v>19.25</v>
      </c>
      <c r="H19" s="18" t="n">
        <f aca="false">E19/D19*100</f>
        <v>50.6</v>
      </c>
      <c r="I19" s="18" t="n">
        <f aca="false">H19-F19</f>
        <v>0.00999999999999801</v>
      </c>
      <c r="J19" s="19" t="n">
        <f aca="false">IF(E19=0,0,G19/E19*100)</f>
        <v>95.1086956521739</v>
      </c>
    </row>
    <row r="20" customFormat="false" ht="15" hidden="false" customHeight="false" outlineLevel="0" collapsed="false">
      <c r="A20" s="6" t="s">
        <v>51</v>
      </c>
      <c r="B20" s="6" t="s">
        <v>81</v>
      </c>
      <c r="C20" s="14" t="str">
        <f aca="false">INDEX(Plants!$C$2:$C$29,MATCH(A20,Plants!$A$2:$A$29,0))</f>
        <v>Hydro</v>
      </c>
      <c r="D20" s="15" t="n">
        <f aca="false">INDEX(Plants!$B$2:$B$29,MATCH(A20,Plants!$A$2:$A$29,0))</f>
        <v>600</v>
      </c>
      <c r="E20" s="16" t="n">
        <v>382.58</v>
      </c>
      <c r="F20" s="17" t="n">
        <v>63.76</v>
      </c>
      <c r="G20" s="16" t="n">
        <v>281.79</v>
      </c>
      <c r="H20" s="18" t="n">
        <f aca="false">E20/D20*100</f>
        <v>63.7633333333333</v>
      </c>
      <c r="I20" s="18" t="n">
        <f aca="false">H20-F20</f>
        <v>0.0033333333333303</v>
      </c>
      <c r="J20" s="19" t="n">
        <f aca="false">IF(E20=0,0,G20/E20*100)</f>
        <v>73.6551832296513</v>
      </c>
    </row>
    <row r="21" customFormat="false" ht="15" hidden="false" customHeight="false" outlineLevel="0" collapsed="false">
      <c r="A21" s="6" t="s">
        <v>51</v>
      </c>
      <c r="B21" s="6" t="s">
        <v>82</v>
      </c>
      <c r="C21" s="14" t="str">
        <f aca="false">INDEX(Plants!$C$2:$C$29,MATCH(A21,Plants!$A$2:$A$29,0))</f>
        <v>Hydro</v>
      </c>
      <c r="D21" s="15" t="n">
        <f aca="false">INDEX(Plants!$B$2:$B$29,MATCH(A21,Plants!$A$2:$A$29,0))</f>
        <v>600</v>
      </c>
      <c r="E21" s="16" t="n">
        <v>297.08</v>
      </c>
      <c r="F21" s="17" t="n">
        <v>49.51</v>
      </c>
      <c r="G21" s="16" t="n">
        <v>269.58</v>
      </c>
      <c r="H21" s="18" t="n">
        <f aca="false">E21/D21*100</f>
        <v>49.5133333333333</v>
      </c>
      <c r="I21" s="18" t="n">
        <f aca="false">H21-F21</f>
        <v>0.0033333333333303</v>
      </c>
      <c r="J21" s="19" t="n">
        <f aca="false">IF(E21=0,0,G21/E21*100)</f>
        <v>90.7432341456847</v>
      </c>
    </row>
    <row r="22" customFormat="false" ht="15" hidden="false" customHeight="false" outlineLevel="0" collapsed="false">
      <c r="A22" s="6" t="s">
        <v>51</v>
      </c>
      <c r="B22" s="6" t="s">
        <v>83</v>
      </c>
      <c r="C22" s="14" t="str">
        <f aca="false">INDEX(Plants!$C$2:$C$29,MATCH(A22,Plants!$A$2:$A$29,0))</f>
        <v>Hydro</v>
      </c>
      <c r="D22" s="15" t="n">
        <f aca="false">INDEX(Plants!$B$2:$B$29,MATCH(A22,Plants!$A$2:$A$29,0))</f>
        <v>600</v>
      </c>
      <c r="E22" s="16" t="n">
        <v>290.91</v>
      </c>
      <c r="F22" s="17" t="n">
        <v>48.48</v>
      </c>
      <c r="G22" s="16" t="n">
        <v>270.61</v>
      </c>
      <c r="H22" s="18" t="n">
        <f aca="false">E22/D22*100</f>
        <v>48.485</v>
      </c>
      <c r="I22" s="18" t="n">
        <f aca="false">H22-F22</f>
        <v>0.00500000000000966</v>
      </c>
      <c r="J22" s="19" t="n">
        <f aca="false">IF(E22=0,0,G22/E22*100)</f>
        <v>93.0218968065725</v>
      </c>
    </row>
    <row r="23" customFormat="false" ht="15" hidden="false" customHeight="false" outlineLevel="0" collapsed="false">
      <c r="A23" s="6" t="s">
        <v>52</v>
      </c>
      <c r="B23" s="6" t="s">
        <v>81</v>
      </c>
      <c r="C23" s="14" t="str">
        <f aca="false">INDEX(Plants!$C$2:$C$29,MATCH(A23,Plants!$A$2:$A$29,0))</f>
        <v>Hydro</v>
      </c>
      <c r="D23" s="15" t="n">
        <f aca="false">INDEX(Plants!$B$2:$B$29,MATCH(A23,Plants!$A$2:$A$29,0))</f>
        <v>700</v>
      </c>
      <c r="E23" s="16" t="n">
        <v>700</v>
      </c>
      <c r="F23" s="17" t="n">
        <v>100</v>
      </c>
      <c r="G23" s="16" t="n">
        <v>440.17</v>
      </c>
      <c r="H23" s="18" t="n">
        <f aca="false">E23/D23*100</f>
        <v>100</v>
      </c>
      <c r="I23" s="18" t="n">
        <f aca="false">H23-F23</f>
        <v>0</v>
      </c>
      <c r="J23" s="19" t="n">
        <f aca="false">IF(E23=0,0,G23/E23*100)</f>
        <v>62.8814285714286</v>
      </c>
    </row>
    <row r="24" customFormat="false" ht="15" hidden="false" customHeight="false" outlineLevel="0" collapsed="false">
      <c r="A24" s="6" t="s">
        <v>52</v>
      </c>
      <c r="B24" s="6" t="s">
        <v>82</v>
      </c>
      <c r="C24" s="14" t="str">
        <f aca="false">INDEX(Plants!$C$2:$C$29,MATCH(A24,Plants!$A$2:$A$29,0))</f>
        <v>Hydro</v>
      </c>
      <c r="D24" s="15" t="n">
        <f aca="false">INDEX(Plants!$B$2:$B$29,MATCH(A24,Plants!$A$2:$A$29,0))</f>
        <v>700</v>
      </c>
      <c r="E24" s="16" t="n">
        <v>314.42</v>
      </c>
      <c r="F24" s="17" t="n">
        <v>44.92</v>
      </c>
      <c r="G24" s="16" t="n">
        <v>280.68</v>
      </c>
      <c r="H24" s="18" t="n">
        <f aca="false">E24/D24*100</f>
        <v>44.9171428571429</v>
      </c>
      <c r="I24" s="18" t="n">
        <f aca="false">H24-F24</f>
        <v>-0.00285714285713823</v>
      </c>
      <c r="J24" s="19" t="n">
        <f aca="false">IF(E24=0,0,G24/E24*100)</f>
        <v>89.2691304624388</v>
      </c>
    </row>
    <row r="25" customFormat="false" ht="15" hidden="false" customHeight="false" outlineLevel="0" collapsed="false">
      <c r="A25" s="6" t="s">
        <v>52</v>
      </c>
      <c r="B25" s="6" t="s">
        <v>83</v>
      </c>
      <c r="C25" s="14" t="str">
        <f aca="false">INDEX(Plants!$C$2:$C$29,MATCH(A25,Plants!$A$2:$A$29,0))</f>
        <v>Hydro</v>
      </c>
      <c r="D25" s="15" t="n">
        <f aca="false">INDEX(Plants!$B$2:$B$29,MATCH(A25,Plants!$A$2:$A$29,0))</f>
        <v>700</v>
      </c>
      <c r="E25" s="16" t="n">
        <v>328.52</v>
      </c>
      <c r="F25" s="17" t="n">
        <v>46.93</v>
      </c>
      <c r="G25" s="16" t="n">
        <v>314.02</v>
      </c>
      <c r="H25" s="18" t="n">
        <f aca="false">E25/D25*100</f>
        <v>46.9314285714286</v>
      </c>
      <c r="I25" s="18" t="n">
        <f aca="false">H25-F25</f>
        <v>0.00142857142856911</v>
      </c>
      <c r="J25" s="19" t="n">
        <f aca="false">IF(E25=0,0,G25/E25*100)</f>
        <v>95.5862656763667</v>
      </c>
    </row>
    <row r="26" customFormat="false" ht="15" hidden="false" customHeight="false" outlineLevel="0" collapsed="false">
      <c r="A26" s="6" t="s">
        <v>53</v>
      </c>
      <c r="B26" s="6" t="s">
        <v>81</v>
      </c>
      <c r="C26" s="14" t="str">
        <f aca="false">INDEX(Plants!$C$2:$C$29,MATCH(A26,Plants!$A$2:$A$29,0))</f>
        <v>Thermal</v>
      </c>
      <c r="D26" s="15" t="n">
        <f aca="false">INDEX(Plants!$B$2:$B$29,MATCH(A26,Plants!$A$2:$A$29,0))</f>
        <v>45</v>
      </c>
      <c r="E26" s="16" t="n">
        <v>19.24</v>
      </c>
      <c r="F26" s="17" t="n">
        <v>42.75</v>
      </c>
      <c r="G26" s="16" t="n">
        <v>17.95</v>
      </c>
      <c r="H26" s="18" t="n">
        <f aca="false">E26/D26*100</f>
        <v>42.7555555555556</v>
      </c>
      <c r="I26" s="18" t="n">
        <f aca="false">H26-F26</f>
        <v>0.00555555555555287</v>
      </c>
      <c r="J26" s="19" t="n">
        <f aca="false">IF(E26=0,0,G26/E26*100)</f>
        <v>93.2952182952183</v>
      </c>
    </row>
    <row r="27" customFormat="false" ht="15" hidden="false" customHeight="false" outlineLevel="0" collapsed="false">
      <c r="A27" s="6" t="s">
        <v>53</v>
      </c>
      <c r="B27" s="6" t="s">
        <v>82</v>
      </c>
      <c r="C27" s="14" t="str">
        <f aca="false">INDEX(Plants!$C$2:$C$29,MATCH(A27,Plants!$A$2:$A$29,0))</f>
        <v>Thermal</v>
      </c>
      <c r="D27" s="15" t="n">
        <f aca="false">INDEX(Plants!$B$2:$B$29,MATCH(A27,Plants!$A$2:$A$29,0))</f>
        <v>45</v>
      </c>
      <c r="E27" s="16" t="n">
        <v>16.92</v>
      </c>
      <c r="F27" s="17" t="n">
        <v>37.61</v>
      </c>
      <c r="G27" s="16" t="n">
        <v>10.29</v>
      </c>
      <c r="H27" s="18" t="n">
        <f aca="false">E27/D27*100</f>
        <v>37.6</v>
      </c>
      <c r="I27" s="18" t="n">
        <f aca="false">H27-F27</f>
        <v>-0.00999999999999091</v>
      </c>
      <c r="J27" s="19" t="n">
        <f aca="false">IF(E27=0,0,G27/E27*100)</f>
        <v>60.8156028368794</v>
      </c>
    </row>
    <row r="28" customFormat="false" ht="15" hidden="false" customHeight="false" outlineLevel="0" collapsed="false">
      <c r="A28" s="6" t="s">
        <v>53</v>
      </c>
      <c r="B28" s="6" t="s">
        <v>83</v>
      </c>
      <c r="C28" s="14" t="str">
        <f aca="false">INDEX(Plants!$C$2:$C$29,MATCH(A28,Plants!$A$2:$A$29,0))</f>
        <v>Thermal</v>
      </c>
      <c r="D28" s="15" t="n">
        <f aca="false">INDEX(Plants!$B$2:$B$29,MATCH(A28,Plants!$A$2:$A$29,0))</f>
        <v>45</v>
      </c>
      <c r="E28" s="16" t="n">
        <v>21.11</v>
      </c>
      <c r="F28" s="17" t="n">
        <v>46.92</v>
      </c>
      <c r="G28" s="16" t="n">
        <v>14.84</v>
      </c>
      <c r="H28" s="18" t="n">
        <f aca="false">E28/D28*100</f>
        <v>46.9111111111111</v>
      </c>
      <c r="I28" s="18" t="n">
        <f aca="false">H28-F28</f>
        <v>-0.00888888888889028</v>
      </c>
      <c r="J28" s="19" t="n">
        <f aca="false">IF(E28=0,0,G28/E28*100)</f>
        <v>70.2984367598295</v>
      </c>
    </row>
    <row r="29" customFormat="false" ht="15" hidden="false" customHeight="false" outlineLevel="0" collapsed="false">
      <c r="A29" s="6" t="s">
        <v>54</v>
      </c>
      <c r="B29" s="6" t="s">
        <v>81</v>
      </c>
      <c r="C29" s="14" t="str">
        <f aca="false">INDEX(Plants!$C$2:$C$29,MATCH(A29,Plants!$A$2:$A$29,0))</f>
        <v>Thermal</v>
      </c>
      <c r="D29" s="15" t="n">
        <f aca="false">INDEX(Plants!$B$2:$B$29,MATCH(A29,Plants!$A$2:$A$29,0))</f>
        <v>650</v>
      </c>
      <c r="E29" s="16" t="n">
        <v>135.72</v>
      </c>
      <c r="F29" s="17" t="n">
        <v>20.88</v>
      </c>
      <c r="G29" s="16" t="n">
        <v>135.57</v>
      </c>
      <c r="H29" s="18" t="n">
        <f aca="false">E29/D29*100</f>
        <v>20.88</v>
      </c>
      <c r="I29" s="18" t="n">
        <f aca="false">H29-F29</f>
        <v>0</v>
      </c>
      <c r="J29" s="19" t="n">
        <f aca="false">IF(E29=0,0,G29/E29*100)</f>
        <v>99.8894783377542</v>
      </c>
    </row>
    <row r="30" customFormat="false" ht="15" hidden="false" customHeight="false" outlineLevel="0" collapsed="false">
      <c r="A30" s="6" t="s">
        <v>54</v>
      </c>
      <c r="B30" s="6" t="s">
        <v>82</v>
      </c>
      <c r="C30" s="14" t="str">
        <f aca="false">INDEX(Plants!$C$2:$C$29,MATCH(A30,Plants!$A$2:$A$29,0))</f>
        <v>Thermal</v>
      </c>
      <c r="D30" s="15" t="n">
        <f aca="false">INDEX(Plants!$B$2:$B$29,MATCH(A30,Plants!$A$2:$A$29,0))</f>
        <v>650</v>
      </c>
      <c r="E30" s="16" t="n">
        <v>206.27</v>
      </c>
      <c r="F30" s="17" t="n">
        <v>31.73</v>
      </c>
      <c r="G30" s="16" t="n">
        <v>184.29</v>
      </c>
      <c r="H30" s="18" t="n">
        <f aca="false">E30/D30*100</f>
        <v>31.7338461538462</v>
      </c>
      <c r="I30" s="18" t="n">
        <f aca="false">H30-F30</f>
        <v>0.00384615384615827</v>
      </c>
      <c r="J30" s="19" t="n">
        <f aca="false">IF(E30=0,0,G30/E30*100)</f>
        <v>89.3440636059534</v>
      </c>
    </row>
    <row r="31" customFormat="false" ht="15" hidden="false" customHeight="false" outlineLevel="0" collapsed="false">
      <c r="A31" s="6" t="s">
        <v>54</v>
      </c>
      <c r="B31" s="6" t="s">
        <v>83</v>
      </c>
      <c r="C31" s="14" t="str">
        <f aca="false">INDEX(Plants!$C$2:$C$29,MATCH(A31,Plants!$A$2:$A$29,0))</f>
        <v>Thermal</v>
      </c>
      <c r="D31" s="15" t="n">
        <f aca="false">INDEX(Plants!$B$2:$B$29,MATCH(A31,Plants!$A$2:$A$29,0))</f>
        <v>650</v>
      </c>
      <c r="E31" s="16" t="n">
        <v>294.23</v>
      </c>
      <c r="F31" s="17" t="n">
        <v>45.27</v>
      </c>
      <c r="G31" s="16" t="n">
        <v>291.27</v>
      </c>
      <c r="H31" s="18" t="n">
        <f aca="false">E31/D31*100</f>
        <v>45.2661538461539</v>
      </c>
      <c r="I31" s="18" t="n">
        <f aca="false">H31-F31</f>
        <v>-0.00384615384615472</v>
      </c>
      <c r="J31" s="19" t="n">
        <f aca="false">IF(E31=0,0,G31/E31*100)</f>
        <v>98.9939842979982</v>
      </c>
    </row>
    <row r="32" customFormat="false" ht="15" hidden="false" customHeight="false" outlineLevel="0" collapsed="false">
      <c r="A32" s="6" t="s">
        <v>55</v>
      </c>
      <c r="B32" s="6" t="s">
        <v>81</v>
      </c>
      <c r="C32" s="14" t="str">
        <f aca="false">INDEX(Plants!$C$2:$C$29,MATCH(A32,Plants!$A$2:$A$29,0))</f>
        <v>Thermal</v>
      </c>
      <c r="D32" s="15" t="n">
        <f aca="false">INDEX(Plants!$B$2:$B$29,MATCH(A32,Plants!$A$2:$A$29,0))</f>
        <v>900</v>
      </c>
      <c r="E32" s="16" t="n">
        <v>435.76</v>
      </c>
      <c r="F32" s="17" t="n">
        <v>48.42</v>
      </c>
      <c r="G32" s="16" t="n">
        <v>306.65</v>
      </c>
      <c r="H32" s="18" t="n">
        <f aca="false">E32/D32*100</f>
        <v>48.4177777777778</v>
      </c>
      <c r="I32" s="18" t="n">
        <f aca="false">H32-F32</f>
        <v>-0.00222222222222257</v>
      </c>
      <c r="J32" s="19" t="n">
        <f aca="false">IF(E32=0,0,G32/E32*100)</f>
        <v>70.3713053056729</v>
      </c>
    </row>
    <row r="33" customFormat="false" ht="15" hidden="false" customHeight="false" outlineLevel="0" collapsed="false">
      <c r="A33" s="6" t="s">
        <v>55</v>
      </c>
      <c r="B33" s="6" t="s">
        <v>82</v>
      </c>
      <c r="C33" s="14" t="str">
        <f aca="false">INDEX(Plants!$C$2:$C$29,MATCH(A33,Plants!$A$2:$A$29,0))</f>
        <v>Thermal</v>
      </c>
      <c r="D33" s="15" t="n">
        <f aca="false">INDEX(Plants!$B$2:$B$29,MATCH(A33,Plants!$A$2:$A$29,0))</f>
        <v>900</v>
      </c>
      <c r="E33" s="16" t="n">
        <v>375.68</v>
      </c>
      <c r="F33" s="17" t="n">
        <v>41.74</v>
      </c>
      <c r="G33" s="16" t="n">
        <v>343.44</v>
      </c>
      <c r="H33" s="18" t="n">
        <f aca="false">E33/D33*100</f>
        <v>41.7422222222222</v>
      </c>
      <c r="I33" s="18" t="n">
        <f aca="false">H33-F33</f>
        <v>0.00222222222222257</v>
      </c>
      <c r="J33" s="19" t="n">
        <f aca="false">IF(E33=0,0,G33/E33*100)</f>
        <v>91.4182282793867</v>
      </c>
    </row>
    <row r="34" customFormat="false" ht="15" hidden="false" customHeight="false" outlineLevel="0" collapsed="false">
      <c r="A34" s="6" t="s">
        <v>55</v>
      </c>
      <c r="B34" s="6" t="s">
        <v>83</v>
      </c>
      <c r="C34" s="14" t="str">
        <f aca="false">INDEX(Plants!$C$2:$C$29,MATCH(A34,Plants!$A$2:$A$29,0))</f>
        <v>Thermal</v>
      </c>
      <c r="D34" s="15" t="n">
        <f aca="false">INDEX(Plants!$B$2:$B$29,MATCH(A34,Plants!$A$2:$A$29,0))</f>
        <v>900</v>
      </c>
      <c r="E34" s="16" t="n">
        <v>401.03</v>
      </c>
      <c r="F34" s="17" t="n">
        <v>44.56</v>
      </c>
      <c r="G34" s="16" t="n">
        <v>365.29</v>
      </c>
      <c r="H34" s="18" t="n">
        <f aca="false">E34/D34*100</f>
        <v>44.5588888888889</v>
      </c>
      <c r="I34" s="18" t="n">
        <f aca="false">H34-F34</f>
        <v>-0.00111111111111484</v>
      </c>
      <c r="J34" s="19" t="n">
        <f aca="false">IF(E34=0,0,G34/E34*100)</f>
        <v>91.0879485325288</v>
      </c>
    </row>
    <row r="35" customFormat="false" ht="15" hidden="false" customHeight="false" outlineLevel="0" collapsed="false">
      <c r="A35" s="6" t="s">
        <v>56</v>
      </c>
      <c r="B35" s="6" t="s">
        <v>81</v>
      </c>
      <c r="C35" s="14" t="str">
        <f aca="false">INDEX(Plants!$C$2:$C$29,MATCH(A35,Plants!$A$2:$A$29,0))</f>
        <v>Thermal</v>
      </c>
      <c r="D35" s="15" t="n">
        <f aca="false">INDEX(Plants!$B$2:$B$29,MATCH(A35,Plants!$A$2:$A$29,0))</f>
        <v>335</v>
      </c>
      <c r="E35" s="16" t="n">
        <v>89.91</v>
      </c>
      <c r="F35" s="17" t="n">
        <v>26.84</v>
      </c>
      <c r="G35" s="16" t="n">
        <v>82</v>
      </c>
      <c r="H35" s="18" t="n">
        <f aca="false">E35/D35*100</f>
        <v>26.8388059701493</v>
      </c>
      <c r="I35" s="18" t="n">
        <f aca="false">H35-F35</f>
        <v>-0.00119402985074402</v>
      </c>
      <c r="J35" s="19" t="n">
        <f aca="false">IF(E35=0,0,G35/E35*100)</f>
        <v>91.2023134245357</v>
      </c>
    </row>
    <row r="36" customFormat="false" ht="15" hidden="false" customHeight="false" outlineLevel="0" collapsed="false">
      <c r="A36" s="6" t="s">
        <v>56</v>
      </c>
      <c r="B36" s="6" t="s">
        <v>82</v>
      </c>
      <c r="C36" s="14" t="str">
        <f aca="false">INDEX(Plants!$C$2:$C$29,MATCH(A36,Plants!$A$2:$A$29,0))</f>
        <v>Thermal</v>
      </c>
      <c r="D36" s="15" t="n">
        <f aca="false">INDEX(Plants!$B$2:$B$29,MATCH(A36,Plants!$A$2:$A$29,0))</f>
        <v>335</v>
      </c>
      <c r="E36" s="16" t="n">
        <v>84.11</v>
      </c>
      <c r="F36" s="17" t="n">
        <v>25.11</v>
      </c>
      <c r="G36" s="16" t="n">
        <v>79.78</v>
      </c>
      <c r="H36" s="18" t="n">
        <f aca="false">E36/D36*100</f>
        <v>25.1074626865672</v>
      </c>
      <c r="I36" s="18" t="n">
        <f aca="false">H36-F36</f>
        <v>-0.00253731343283903</v>
      </c>
      <c r="J36" s="19" t="n">
        <f aca="false">IF(E36=0,0,G36/E36*100)</f>
        <v>94.8519795505885</v>
      </c>
    </row>
    <row r="37" customFormat="false" ht="15" hidden="false" customHeight="false" outlineLevel="0" collapsed="false">
      <c r="A37" s="6" t="s">
        <v>56</v>
      </c>
      <c r="B37" s="6" t="s">
        <v>83</v>
      </c>
      <c r="C37" s="14" t="str">
        <f aca="false">INDEX(Plants!$C$2:$C$29,MATCH(A37,Plants!$A$2:$A$29,0))</f>
        <v>Thermal</v>
      </c>
      <c r="D37" s="15" t="n">
        <f aca="false">INDEX(Plants!$B$2:$B$29,MATCH(A37,Plants!$A$2:$A$29,0))</f>
        <v>335</v>
      </c>
      <c r="E37" s="16" t="n">
        <v>143.76</v>
      </c>
      <c r="F37" s="17" t="n">
        <v>42.91</v>
      </c>
      <c r="G37" s="16" t="n">
        <v>135.18</v>
      </c>
      <c r="H37" s="18" t="n">
        <f aca="false">E37/D37*100</f>
        <v>42.9134328358209</v>
      </c>
      <c r="I37" s="18" t="n">
        <f aca="false">H37-F37</f>
        <v>0.00343283582089526</v>
      </c>
      <c r="J37" s="19" t="n">
        <f aca="false">IF(E37=0,0,G37/E37*100)</f>
        <v>94.0317195325543</v>
      </c>
    </row>
    <row r="38" customFormat="false" ht="15" hidden="false" customHeight="false" outlineLevel="0" collapsed="false">
      <c r="A38" s="6" t="s">
        <v>57</v>
      </c>
      <c r="B38" s="6" t="s">
        <v>81</v>
      </c>
      <c r="C38" s="14" t="str">
        <f aca="false">INDEX(Plants!$C$2:$C$29,MATCH(A38,Plants!$A$2:$A$29,0))</f>
        <v>Thermal</v>
      </c>
      <c r="D38" s="15" t="n">
        <f aca="false">INDEX(Plants!$B$2:$B$29,MATCH(A38,Plants!$A$2:$A$29,0))</f>
        <v>335</v>
      </c>
      <c r="E38" s="16" t="n">
        <v>89.67</v>
      </c>
      <c r="F38" s="17" t="n">
        <v>26.77</v>
      </c>
      <c r="G38" s="16" t="n">
        <v>88.84</v>
      </c>
      <c r="H38" s="18" t="n">
        <f aca="false">E38/D38*100</f>
        <v>26.7671641791045</v>
      </c>
      <c r="I38" s="18" t="n">
        <f aca="false">H38-F38</f>
        <v>-0.0028358208955197</v>
      </c>
      <c r="J38" s="19" t="n">
        <f aca="false">IF(E38=0,0,G38/E38*100)</f>
        <v>99.0743838519014</v>
      </c>
    </row>
    <row r="39" customFormat="false" ht="15" hidden="false" customHeight="false" outlineLevel="0" collapsed="false">
      <c r="A39" s="6" t="s">
        <v>57</v>
      </c>
      <c r="B39" s="6" t="s">
        <v>82</v>
      </c>
      <c r="C39" s="14" t="str">
        <f aca="false">INDEX(Plants!$C$2:$C$29,MATCH(A39,Plants!$A$2:$A$29,0))</f>
        <v>Thermal</v>
      </c>
      <c r="D39" s="15" t="n">
        <f aca="false">INDEX(Plants!$B$2:$B$29,MATCH(A39,Plants!$A$2:$A$29,0))</f>
        <v>335</v>
      </c>
      <c r="E39" s="16" t="n">
        <v>83.14</v>
      </c>
      <c r="F39" s="17" t="n">
        <v>24.82</v>
      </c>
      <c r="G39" s="16" t="n">
        <v>83.08</v>
      </c>
      <c r="H39" s="18" t="n">
        <f aca="false">E39/D39*100</f>
        <v>24.8179104477612</v>
      </c>
      <c r="I39" s="18" t="n">
        <f aca="false">H39-F39</f>
        <v>-0.00208955223880736</v>
      </c>
      <c r="J39" s="19" t="n">
        <f aca="false">IF(E39=0,0,G39/E39*100)</f>
        <v>99.927832571566</v>
      </c>
    </row>
    <row r="40" customFormat="false" ht="15" hidden="false" customHeight="false" outlineLevel="0" collapsed="false">
      <c r="A40" s="6" t="s">
        <v>57</v>
      </c>
      <c r="B40" s="6" t="s">
        <v>83</v>
      </c>
      <c r="C40" s="14" t="str">
        <f aca="false">INDEX(Plants!$C$2:$C$29,MATCH(A40,Plants!$A$2:$A$29,0))</f>
        <v>Thermal</v>
      </c>
      <c r="D40" s="15" t="n">
        <f aca="false">INDEX(Plants!$B$2:$B$29,MATCH(A40,Plants!$A$2:$A$29,0))</f>
        <v>335</v>
      </c>
      <c r="E40" s="16" t="n">
        <v>136.53</v>
      </c>
      <c r="F40" s="17" t="n">
        <v>40.75</v>
      </c>
      <c r="G40" s="16" t="n">
        <v>136.33</v>
      </c>
      <c r="H40" s="18" t="n">
        <f aca="false">E40/D40*100</f>
        <v>40.755223880597</v>
      </c>
      <c r="I40" s="18" t="n">
        <f aca="false">H40-F40</f>
        <v>0.00522388059701484</v>
      </c>
      <c r="J40" s="19" t="n">
        <f aca="false">IF(E40=0,0,G40/E40*100)</f>
        <v>99.853512048634</v>
      </c>
    </row>
    <row r="41" customFormat="false" ht="15" hidden="false" customHeight="false" outlineLevel="0" collapsed="false">
      <c r="A41" s="6" t="s">
        <v>58</v>
      </c>
      <c r="B41" s="6" t="s">
        <v>81</v>
      </c>
      <c r="C41" s="14" t="str">
        <f aca="false">INDEX(Plants!$C$2:$C$29,MATCH(A41,Plants!$A$2:$A$29,0))</f>
        <v>Thermal</v>
      </c>
      <c r="D41" s="15" t="n">
        <f aca="false">INDEX(Plants!$B$2:$B$29,MATCH(A41,Plants!$A$2:$A$29,0))</f>
        <v>1320</v>
      </c>
      <c r="E41" s="16" t="n">
        <v>631.11</v>
      </c>
      <c r="F41" s="17" t="n">
        <v>47.81</v>
      </c>
      <c r="G41" s="16" t="n">
        <v>584.27</v>
      </c>
      <c r="H41" s="18" t="n">
        <f aca="false">E41/D41*100</f>
        <v>47.8113636363636</v>
      </c>
      <c r="I41" s="18" t="n">
        <f aca="false">H41-F41</f>
        <v>0.00136363636363512</v>
      </c>
      <c r="J41" s="19" t="n">
        <f aca="false">IF(E41=0,0,G41/E41*100)</f>
        <v>92.5781559474577</v>
      </c>
    </row>
    <row r="42" customFormat="false" ht="15" hidden="false" customHeight="false" outlineLevel="0" collapsed="false">
      <c r="A42" s="6" t="s">
        <v>58</v>
      </c>
      <c r="B42" s="6" t="s">
        <v>82</v>
      </c>
      <c r="C42" s="14" t="str">
        <f aca="false">INDEX(Plants!$C$2:$C$29,MATCH(A42,Plants!$A$2:$A$29,0))</f>
        <v>Thermal</v>
      </c>
      <c r="D42" s="15" t="n">
        <f aca="false">INDEX(Plants!$B$2:$B$29,MATCH(A42,Plants!$A$2:$A$29,0))</f>
        <v>1320</v>
      </c>
      <c r="E42" s="16" t="n">
        <v>540.96</v>
      </c>
      <c r="F42" s="17" t="n">
        <v>40.98</v>
      </c>
      <c r="G42" s="16" t="n">
        <v>518.01</v>
      </c>
      <c r="H42" s="18" t="n">
        <f aca="false">E42/D42*100</f>
        <v>40.9818181818182</v>
      </c>
      <c r="I42" s="18" t="n">
        <f aca="false">H42-F42</f>
        <v>0.00181818181818727</v>
      </c>
      <c r="J42" s="19" t="n">
        <f aca="false">IF(E42=0,0,G42/E42*100)</f>
        <v>95.7575421472937</v>
      </c>
    </row>
    <row r="43" customFormat="false" ht="15" hidden="false" customHeight="false" outlineLevel="0" collapsed="false">
      <c r="A43" s="6" t="s">
        <v>58</v>
      </c>
      <c r="B43" s="6" t="s">
        <v>83</v>
      </c>
      <c r="C43" s="14" t="str">
        <f aca="false">INDEX(Plants!$C$2:$C$29,MATCH(A43,Plants!$A$2:$A$29,0))</f>
        <v>Thermal</v>
      </c>
      <c r="D43" s="15" t="n">
        <f aca="false">INDEX(Plants!$B$2:$B$29,MATCH(A43,Plants!$A$2:$A$29,0))</f>
        <v>1320</v>
      </c>
      <c r="E43" s="16" t="n">
        <v>521.44</v>
      </c>
      <c r="F43" s="17" t="n">
        <v>39.5</v>
      </c>
      <c r="G43" s="16" t="n">
        <v>470.94</v>
      </c>
      <c r="H43" s="18" t="n">
        <f aca="false">E43/D43*100</f>
        <v>39.5030303030303</v>
      </c>
      <c r="I43" s="18" t="n">
        <f aca="false">H43-F43</f>
        <v>0.00303030303030738</v>
      </c>
      <c r="J43" s="19" t="n">
        <f aca="false">IF(E43=0,0,G43/E43*100)</f>
        <v>90.3152807609696</v>
      </c>
    </row>
    <row r="44" customFormat="false" ht="15" hidden="false" customHeight="false" outlineLevel="0" collapsed="false">
      <c r="A44" s="6" t="s">
        <v>59</v>
      </c>
      <c r="B44" s="6" t="s">
        <v>81</v>
      </c>
      <c r="C44" s="14" t="str">
        <f aca="false">INDEX(Plants!$C$2:$C$29,MATCH(A44,Plants!$A$2:$A$29,0))</f>
        <v>Thermal</v>
      </c>
      <c r="D44" s="15" t="n">
        <f aca="false">INDEX(Plants!$B$2:$B$29,MATCH(A44,Plants!$A$2:$A$29,0))</f>
        <v>435</v>
      </c>
      <c r="E44" s="16" t="n">
        <v>106.34</v>
      </c>
      <c r="F44" s="17" t="n">
        <v>24.45</v>
      </c>
      <c r="G44" s="16" t="n">
        <v>80.89</v>
      </c>
      <c r="H44" s="18" t="n">
        <f aca="false">E44/D44*100</f>
        <v>24.4459770114943</v>
      </c>
      <c r="I44" s="18" t="n">
        <f aca="false">H44-F44</f>
        <v>-0.00402298850574567</v>
      </c>
      <c r="J44" s="19" t="n">
        <f aca="false">IF(E44=0,0,G44/E44*100)</f>
        <v>76.0673312018055</v>
      </c>
    </row>
    <row r="45" customFormat="false" ht="15" hidden="false" customHeight="false" outlineLevel="0" collapsed="false">
      <c r="A45" s="6" t="s">
        <v>59</v>
      </c>
      <c r="B45" s="6" t="s">
        <v>82</v>
      </c>
      <c r="C45" s="14" t="str">
        <f aca="false">INDEX(Plants!$C$2:$C$29,MATCH(A45,Plants!$A$2:$A$29,0))</f>
        <v>Thermal</v>
      </c>
      <c r="D45" s="15" t="n">
        <f aca="false">INDEX(Plants!$B$2:$B$29,MATCH(A45,Plants!$A$2:$A$29,0))</f>
        <v>435</v>
      </c>
      <c r="E45" s="16" t="n">
        <v>115.68</v>
      </c>
      <c r="F45" s="17" t="n">
        <v>26.59</v>
      </c>
      <c r="G45" s="16" t="n">
        <v>98.26</v>
      </c>
      <c r="H45" s="18" t="n">
        <f aca="false">E45/D45*100</f>
        <v>26.5931034482759</v>
      </c>
      <c r="I45" s="18" t="n">
        <f aca="false">H45-F45</f>
        <v>0.00310344827586206</v>
      </c>
      <c r="J45" s="19" t="n">
        <f aca="false">IF(E45=0,0,G45/E45*100)</f>
        <v>84.9412171507607</v>
      </c>
    </row>
    <row r="46" customFormat="false" ht="15" hidden="false" customHeight="false" outlineLevel="0" collapsed="false">
      <c r="A46" s="6" t="s">
        <v>59</v>
      </c>
      <c r="B46" s="6" t="s">
        <v>83</v>
      </c>
      <c r="C46" s="14" t="str">
        <f aca="false">INDEX(Plants!$C$2:$C$29,MATCH(A46,Plants!$A$2:$A$29,0))</f>
        <v>Thermal</v>
      </c>
      <c r="D46" s="15" t="n">
        <f aca="false">INDEX(Plants!$B$2:$B$29,MATCH(A46,Plants!$A$2:$A$29,0))</f>
        <v>435</v>
      </c>
      <c r="E46" s="16" t="n">
        <v>102.64</v>
      </c>
      <c r="F46" s="17" t="n">
        <v>23.6</v>
      </c>
      <c r="G46" s="16" t="n">
        <v>81.46</v>
      </c>
      <c r="H46" s="18" t="n">
        <f aca="false">E46/D46*100</f>
        <v>23.5954022988506</v>
      </c>
      <c r="I46" s="18" t="n">
        <f aca="false">H46-F46</f>
        <v>-0.0045977011494287</v>
      </c>
      <c r="J46" s="19" t="n">
        <f aca="false">IF(E46=0,0,G46/E46*100)</f>
        <v>79.3647700701481</v>
      </c>
    </row>
    <row r="47" customFormat="false" ht="15" hidden="false" customHeight="false" outlineLevel="0" collapsed="false">
      <c r="A47" s="6" t="s">
        <v>60</v>
      </c>
      <c r="B47" s="6" t="s">
        <v>81</v>
      </c>
      <c r="C47" s="14" t="str">
        <f aca="false">INDEX(Plants!$C$2:$C$29,MATCH(A47,Plants!$A$2:$A$29,0))</f>
        <v>Thermal</v>
      </c>
      <c r="D47" s="15" t="n">
        <f aca="false">INDEX(Plants!$B$2:$B$29,MATCH(A47,Plants!$A$2:$A$29,0))</f>
        <v>625</v>
      </c>
      <c r="E47" s="16" t="n">
        <v>142.39</v>
      </c>
      <c r="F47" s="17" t="n">
        <v>22.78</v>
      </c>
      <c r="G47" s="16" t="n">
        <v>126.59</v>
      </c>
      <c r="H47" s="18" t="n">
        <f aca="false">E47/D47*100</f>
        <v>22.7824</v>
      </c>
      <c r="I47" s="18" t="n">
        <f aca="false">H47-F47</f>
        <v>0.00239999999999441</v>
      </c>
      <c r="J47" s="19" t="n">
        <f aca="false">IF(E47=0,0,G47/E47*100)</f>
        <v>88.9037151485357</v>
      </c>
    </row>
    <row r="48" customFormat="false" ht="15" hidden="false" customHeight="false" outlineLevel="0" collapsed="false">
      <c r="A48" s="6" t="s">
        <v>60</v>
      </c>
      <c r="B48" s="6" t="s">
        <v>82</v>
      </c>
      <c r="C48" s="14" t="str">
        <f aca="false">INDEX(Plants!$C$2:$C$29,MATCH(A48,Plants!$A$2:$A$29,0))</f>
        <v>Thermal</v>
      </c>
      <c r="D48" s="15" t="n">
        <f aca="false">INDEX(Plants!$B$2:$B$29,MATCH(A48,Plants!$A$2:$A$29,0))</f>
        <v>625</v>
      </c>
      <c r="E48" s="16" t="n">
        <v>141.41</v>
      </c>
      <c r="F48" s="17" t="n">
        <v>22.63</v>
      </c>
      <c r="G48" s="16" t="n">
        <v>133.23</v>
      </c>
      <c r="H48" s="18" t="n">
        <f aca="false">E48/D48*100</f>
        <v>22.6256</v>
      </c>
      <c r="I48" s="18" t="n">
        <f aca="false">H48-F48</f>
        <v>-0.0044000000000004</v>
      </c>
      <c r="J48" s="19" t="n">
        <f aca="false">IF(E48=0,0,G48/E48*100)</f>
        <v>94.2154020224878</v>
      </c>
    </row>
    <row r="49" customFormat="false" ht="15" hidden="false" customHeight="false" outlineLevel="0" collapsed="false">
      <c r="A49" s="6" t="s">
        <v>60</v>
      </c>
      <c r="B49" s="6" t="s">
        <v>83</v>
      </c>
      <c r="C49" s="14" t="str">
        <f aca="false">INDEX(Plants!$C$2:$C$29,MATCH(A49,Plants!$A$2:$A$29,0))</f>
        <v>Thermal</v>
      </c>
      <c r="D49" s="15" t="n">
        <f aca="false">INDEX(Plants!$B$2:$B$29,MATCH(A49,Plants!$A$2:$A$29,0))</f>
        <v>625</v>
      </c>
      <c r="E49" s="16" t="n">
        <v>128.25</v>
      </c>
      <c r="F49" s="17" t="n">
        <v>20.52</v>
      </c>
      <c r="G49" s="16" t="n">
        <v>119.47</v>
      </c>
      <c r="H49" s="18" t="n">
        <f aca="false">E49/D49*100</f>
        <v>20.52</v>
      </c>
      <c r="I49" s="18" t="n">
        <f aca="false">H49-F49</f>
        <v>0</v>
      </c>
      <c r="J49" s="19" t="n">
        <f aca="false">IF(E49=0,0,G49/E49*100)</f>
        <v>93.1539961013645</v>
      </c>
    </row>
    <row r="50" customFormat="false" ht="15" hidden="false" customHeight="false" outlineLevel="0" collapsed="false">
      <c r="A50" s="6" t="s">
        <v>61</v>
      </c>
      <c r="B50" s="6" t="s">
        <v>81</v>
      </c>
      <c r="C50" s="14" t="str">
        <f aca="false">INDEX(Plants!$C$2:$C$29,MATCH(A50,Plants!$A$2:$A$29,0))</f>
        <v>Thermal</v>
      </c>
      <c r="D50" s="15" t="n">
        <f aca="false">INDEX(Plants!$B$2:$B$29,MATCH(A50,Plants!$A$2:$A$29,0))</f>
        <v>150</v>
      </c>
      <c r="E50" s="16" t="n">
        <v>33.76</v>
      </c>
      <c r="F50" s="17" t="n">
        <v>22.51</v>
      </c>
      <c r="G50" s="16" t="n">
        <v>33.45</v>
      </c>
      <c r="H50" s="18" t="n">
        <f aca="false">E50/D50*100</f>
        <v>22.5066666666667</v>
      </c>
      <c r="I50" s="18" t="n">
        <f aca="false">H50-F50</f>
        <v>-0.00333333333333385</v>
      </c>
      <c r="J50" s="19" t="n">
        <f aca="false">IF(E50=0,0,G50/E50*100)</f>
        <v>99.0817535545024</v>
      </c>
    </row>
    <row r="51" customFormat="false" ht="15" hidden="false" customHeight="false" outlineLevel="0" collapsed="false">
      <c r="A51" s="6" t="s">
        <v>61</v>
      </c>
      <c r="B51" s="6" t="s">
        <v>82</v>
      </c>
      <c r="C51" s="14" t="str">
        <f aca="false">INDEX(Plants!$C$2:$C$29,MATCH(A51,Plants!$A$2:$A$29,0))</f>
        <v>Thermal</v>
      </c>
      <c r="D51" s="15" t="n">
        <f aca="false">INDEX(Plants!$B$2:$B$29,MATCH(A51,Plants!$A$2:$A$29,0))</f>
        <v>150</v>
      </c>
      <c r="E51" s="16" t="n">
        <v>30.27</v>
      </c>
      <c r="F51" s="17" t="n">
        <v>20.18</v>
      </c>
      <c r="G51" s="16" t="n">
        <v>27.89</v>
      </c>
      <c r="H51" s="18" t="n">
        <f aca="false">E51/D51*100</f>
        <v>20.18</v>
      </c>
      <c r="I51" s="18" t="n">
        <f aca="false">H51-F51</f>
        <v>0</v>
      </c>
      <c r="J51" s="19" t="n">
        <f aca="false">IF(E51=0,0,G51/E51*100)</f>
        <v>92.1374297984803</v>
      </c>
    </row>
    <row r="52" customFormat="false" ht="15" hidden="false" customHeight="false" outlineLevel="0" collapsed="false">
      <c r="A52" s="6" t="s">
        <v>61</v>
      </c>
      <c r="B52" s="6" t="s">
        <v>83</v>
      </c>
      <c r="C52" s="14" t="str">
        <f aca="false">INDEX(Plants!$C$2:$C$29,MATCH(A52,Plants!$A$2:$A$29,0))</f>
        <v>Thermal</v>
      </c>
      <c r="D52" s="15" t="n">
        <f aca="false">INDEX(Plants!$B$2:$B$29,MATCH(A52,Plants!$A$2:$A$29,0))</f>
        <v>150</v>
      </c>
      <c r="E52" s="16" t="n">
        <v>30.5</v>
      </c>
      <c r="F52" s="17" t="n">
        <v>20.33</v>
      </c>
      <c r="G52" s="16" t="n">
        <v>28.44</v>
      </c>
      <c r="H52" s="18" t="n">
        <f aca="false">E52/D52*100</f>
        <v>20.3333333333333</v>
      </c>
      <c r="I52" s="18" t="n">
        <f aca="false">H52-F52</f>
        <v>0.00333333333333385</v>
      </c>
      <c r="J52" s="19" t="n">
        <f aca="false">IF(E52=0,0,G52/E52*100)</f>
        <v>93.2459016393443</v>
      </c>
    </row>
    <row r="53" customFormat="false" ht="15" hidden="false" customHeight="false" outlineLevel="0" collapsed="false">
      <c r="A53" s="6" t="s">
        <v>62</v>
      </c>
      <c r="B53" s="6" t="s">
        <v>81</v>
      </c>
      <c r="C53" s="14" t="str">
        <f aca="false">INDEX(Plants!$C$2:$C$29,MATCH(A53,Plants!$A$2:$A$29,0))</f>
        <v>Thermal</v>
      </c>
      <c r="D53" s="15" t="n">
        <f aca="false">INDEX(Plants!$B$2:$B$29,MATCH(A53,Plants!$A$2:$A$29,0))</f>
        <v>500</v>
      </c>
      <c r="E53" s="16" t="n">
        <v>34.44</v>
      </c>
      <c r="F53" s="17" t="n">
        <v>6.89</v>
      </c>
      <c r="G53" s="16" t="n">
        <v>19.32</v>
      </c>
      <c r="H53" s="18" t="n">
        <f aca="false">E53/D53*100</f>
        <v>6.888</v>
      </c>
      <c r="I53" s="18" t="n">
        <f aca="false">H53-F53</f>
        <v>-0.00199999999999978</v>
      </c>
      <c r="J53" s="19" t="n">
        <f aca="false">IF(E53=0,0,G53/E53*100)</f>
        <v>56.0975609756098</v>
      </c>
    </row>
    <row r="54" customFormat="false" ht="15" hidden="false" customHeight="false" outlineLevel="0" collapsed="false">
      <c r="A54" s="6" t="s">
        <v>62</v>
      </c>
      <c r="B54" s="6" t="s">
        <v>82</v>
      </c>
      <c r="C54" s="14" t="str">
        <f aca="false">INDEX(Plants!$C$2:$C$29,MATCH(A54,Plants!$A$2:$A$29,0))</f>
        <v>Thermal</v>
      </c>
      <c r="D54" s="15" t="n">
        <f aca="false">INDEX(Plants!$B$2:$B$29,MATCH(A54,Plants!$A$2:$A$29,0))</f>
        <v>500</v>
      </c>
      <c r="E54" s="16" t="n">
        <v>65.5</v>
      </c>
      <c r="F54" s="17" t="n">
        <v>13.1</v>
      </c>
      <c r="G54" s="16" t="n">
        <v>54.25</v>
      </c>
      <c r="H54" s="18" t="n">
        <f aca="false">E54/D54*100</f>
        <v>13.1</v>
      </c>
      <c r="I54" s="18" t="n">
        <f aca="false">H54-F54</f>
        <v>0</v>
      </c>
      <c r="J54" s="19" t="n">
        <f aca="false">IF(E54=0,0,G54/E54*100)</f>
        <v>82.824427480916</v>
      </c>
    </row>
    <row r="55" customFormat="false" ht="15" hidden="false" customHeight="false" outlineLevel="0" collapsed="false">
      <c r="A55" s="6" t="s">
        <v>62</v>
      </c>
      <c r="B55" s="6" t="s">
        <v>83</v>
      </c>
      <c r="C55" s="14" t="str">
        <f aca="false">INDEX(Plants!$C$2:$C$29,MATCH(A55,Plants!$A$2:$A$29,0))</f>
        <v>Thermal</v>
      </c>
      <c r="D55" s="15" t="n">
        <f aca="false">INDEX(Plants!$B$2:$B$29,MATCH(A55,Plants!$A$2:$A$29,0))</f>
        <v>500</v>
      </c>
      <c r="E55" s="16" t="n">
        <v>81.68</v>
      </c>
      <c r="F55" s="17" t="n">
        <v>16.34</v>
      </c>
      <c r="G55" s="16" t="n">
        <v>61.37</v>
      </c>
      <c r="H55" s="18" t="n">
        <f aca="false">E55/D55*100</f>
        <v>16.336</v>
      </c>
      <c r="I55" s="18" t="n">
        <f aca="false">H55-F55</f>
        <v>-0.00399999999999778</v>
      </c>
      <c r="J55" s="19" t="n">
        <f aca="false">IF(E55=0,0,G55/E55*100)</f>
        <v>75.1346718903036</v>
      </c>
    </row>
    <row r="56" customFormat="false" ht="15" hidden="false" customHeight="false" outlineLevel="0" collapsed="false">
      <c r="A56" s="6" t="s">
        <v>63</v>
      </c>
      <c r="B56" s="6" t="s">
        <v>81</v>
      </c>
      <c r="C56" s="14" t="str">
        <f aca="false">INDEX(Plants!$C$2:$C$29,MATCH(A56,Plants!$A$2:$A$29,0))</f>
        <v>Thermal</v>
      </c>
      <c r="D56" s="15" t="n">
        <f aca="false">INDEX(Plants!$B$2:$B$29,MATCH(A56,Plants!$A$2:$A$29,0))</f>
        <v>500</v>
      </c>
      <c r="E56" s="16" t="n">
        <v>41.11</v>
      </c>
      <c r="F56" s="17" t="n">
        <v>8.22</v>
      </c>
      <c r="G56" s="16" t="n">
        <v>22.19</v>
      </c>
      <c r="H56" s="18" t="n">
        <f aca="false">E56/D56*100</f>
        <v>8.222</v>
      </c>
      <c r="I56" s="18" t="n">
        <f aca="false">H56-F56</f>
        <v>0.00199999999999889</v>
      </c>
      <c r="J56" s="19" t="n">
        <f aca="false">IF(E56=0,0,G56/E56*100)</f>
        <v>53.9771345171491</v>
      </c>
    </row>
    <row r="57" customFormat="false" ht="15" hidden="false" customHeight="false" outlineLevel="0" collapsed="false">
      <c r="A57" s="6" t="s">
        <v>63</v>
      </c>
      <c r="B57" s="6" t="s">
        <v>82</v>
      </c>
      <c r="C57" s="14" t="str">
        <f aca="false">INDEX(Plants!$C$2:$C$29,MATCH(A57,Plants!$A$2:$A$29,0))</f>
        <v>Thermal</v>
      </c>
      <c r="D57" s="15" t="n">
        <f aca="false">INDEX(Plants!$B$2:$B$29,MATCH(A57,Plants!$A$2:$A$29,0))</f>
        <v>500</v>
      </c>
      <c r="E57" s="16" t="n">
        <v>30.73</v>
      </c>
      <c r="F57" s="17" t="n">
        <v>6.15</v>
      </c>
      <c r="G57" s="16" t="n">
        <v>26.98</v>
      </c>
      <c r="H57" s="18" t="n">
        <f aca="false">E57/D57*100</f>
        <v>6.146</v>
      </c>
      <c r="I57" s="18" t="n">
        <f aca="false">H57-F57</f>
        <v>-0.00400000000000045</v>
      </c>
      <c r="J57" s="19" t="n">
        <f aca="false">IF(E57=0,0,G57/E57*100)</f>
        <v>87.7969410999024</v>
      </c>
    </row>
    <row r="58" customFormat="false" ht="15" hidden="false" customHeight="false" outlineLevel="0" collapsed="false">
      <c r="A58" s="6" t="s">
        <v>63</v>
      </c>
      <c r="B58" s="6" t="s">
        <v>83</v>
      </c>
      <c r="C58" s="14" t="str">
        <f aca="false">INDEX(Plants!$C$2:$C$29,MATCH(A58,Plants!$A$2:$A$29,0))</f>
        <v>Thermal</v>
      </c>
      <c r="D58" s="15" t="n">
        <f aca="false">INDEX(Plants!$B$2:$B$29,MATCH(A58,Plants!$A$2:$A$29,0))</f>
        <v>500</v>
      </c>
      <c r="E58" s="16" t="n">
        <v>81.38</v>
      </c>
      <c r="F58" s="17" t="n">
        <v>16.28</v>
      </c>
      <c r="G58" s="16" t="n">
        <v>58.68</v>
      </c>
      <c r="H58" s="18" t="n">
        <f aca="false">E58/D58*100</f>
        <v>16.276</v>
      </c>
      <c r="I58" s="18" t="n">
        <f aca="false">H58-F58</f>
        <v>-0.00400000000000134</v>
      </c>
      <c r="J58" s="19" t="n">
        <f aca="false">IF(E58=0,0,G58/E58*100)</f>
        <v>72.1061685917916</v>
      </c>
    </row>
    <row r="59" customFormat="false" ht="15" hidden="false" customHeight="false" outlineLevel="0" collapsed="false">
      <c r="A59" s="6" t="s">
        <v>64</v>
      </c>
      <c r="B59" s="6" t="s">
        <v>81</v>
      </c>
      <c r="C59" s="14" t="str">
        <f aca="false">INDEX(Plants!$C$2:$C$29,MATCH(A59,Plants!$A$2:$A$29,0))</f>
        <v>Thermal</v>
      </c>
      <c r="D59" s="15" t="n">
        <f aca="false">INDEX(Plants!$B$2:$B$29,MATCH(A59,Plants!$A$2:$A$29,0))</f>
        <v>100</v>
      </c>
      <c r="E59" s="16" t="n">
        <v>5.41</v>
      </c>
      <c r="F59" s="17" t="n">
        <v>5.41</v>
      </c>
      <c r="G59" s="16" t="n">
        <v>7.82</v>
      </c>
      <c r="H59" s="18" t="n">
        <f aca="false">E59/D59*100</f>
        <v>5.41</v>
      </c>
      <c r="I59" s="18" t="n">
        <f aca="false">H59-F59</f>
        <v>0</v>
      </c>
      <c r="J59" s="19" t="n">
        <f aca="false">IF(E59=0,0,G59/E59*100)</f>
        <v>144.547134935305</v>
      </c>
    </row>
    <row r="60" customFormat="false" ht="15" hidden="false" customHeight="false" outlineLevel="0" collapsed="false">
      <c r="A60" s="6" t="s">
        <v>64</v>
      </c>
      <c r="B60" s="6" t="s">
        <v>82</v>
      </c>
      <c r="C60" s="14" t="str">
        <f aca="false">INDEX(Plants!$C$2:$C$29,MATCH(A60,Plants!$A$2:$A$29,0))</f>
        <v>Thermal</v>
      </c>
      <c r="D60" s="15" t="n">
        <f aca="false">INDEX(Plants!$B$2:$B$29,MATCH(A60,Plants!$A$2:$A$29,0))</f>
        <v>100</v>
      </c>
      <c r="E60" s="16" t="n">
        <v>8.41</v>
      </c>
      <c r="F60" s="17" t="n">
        <v>8.41</v>
      </c>
      <c r="G60" s="16" t="n">
        <v>9.95</v>
      </c>
      <c r="H60" s="18" t="n">
        <f aca="false">E60/D60*100</f>
        <v>8.41</v>
      </c>
      <c r="I60" s="18" t="n">
        <f aca="false">H60-F60</f>
        <v>0</v>
      </c>
      <c r="J60" s="19" t="n">
        <f aca="false">IF(E60=0,0,G60/E60*100)</f>
        <v>118.311533888228</v>
      </c>
    </row>
    <row r="61" customFormat="false" ht="15" hidden="false" customHeight="false" outlineLevel="0" collapsed="false">
      <c r="A61" s="6" t="s">
        <v>64</v>
      </c>
      <c r="B61" s="6" t="s">
        <v>83</v>
      </c>
      <c r="C61" s="14" t="str">
        <f aca="false">INDEX(Plants!$C$2:$C$29,MATCH(A61,Plants!$A$2:$A$29,0))</f>
        <v>Thermal</v>
      </c>
      <c r="D61" s="15" t="n">
        <f aca="false">INDEX(Plants!$B$2:$B$29,MATCH(A61,Plants!$A$2:$A$29,0))</f>
        <v>100</v>
      </c>
      <c r="E61" s="16" t="n">
        <v>15.21</v>
      </c>
      <c r="F61" s="17" t="n">
        <v>15.21</v>
      </c>
      <c r="G61" s="16" t="n">
        <v>21.55</v>
      </c>
      <c r="H61" s="18" t="n">
        <f aca="false">E61/D61*100</f>
        <v>15.21</v>
      </c>
      <c r="I61" s="18" t="n">
        <f aca="false">H61-F61</f>
        <v>0</v>
      </c>
      <c r="J61" s="19" t="n">
        <f aca="false">IF(E61=0,0,G61/E61*100)</f>
        <v>141.683103221565</v>
      </c>
    </row>
    <row r="62" customFormat="false" ht="15" hidden="false" customHeight="false" outlineLevel="0" collapsed="false">
      <c r="A62" s="6" t="s">
        <v>65</v>
      </c>
      <c r="B62" s="6" t="s">
        <v>81</v>
      </c>
      <c r="C62" s="14" t="str">
        <f aca="false">INDEX(Plants!$C$2:$C$29,MATCH(A62,Plants!$A$2:$A$29,0))</f>
        <v>Thermal</v>
      </c>
      <c r="D62" s="15" t="n">
        <f aca="false">INDEX(Plants!$B$2:$B$29,MATCH(A62,Plants!$A$2:$A$29,0))</f>
        <v>190</v>
      </c>
      <c r="E62" s="16" t="n">
        <v>4.11</v>
      </c>
      <c r="F62" s="17" t="n">
        <v>2.16</v>
      </c>
      <c r="G62" s="16" t="n">
        <v>1.5</v>
      </c>
      <c r="H62" s="18" t="n">
        <f aca="false">E62/D62*100</f>
        <v>2.16315789473684</v>
      </c>
      <c r="I62" s="18" t="n">
        <f aca="false">H62-F62</f>
        <v>0.00315789473684225</v>
      </c>
      <c r="J62" s="19" t="n">
        <f aca="false">IF(E62=0,0,G62/E62*100)</f>
        <v>36.4963503649635</v>
      </c>
    </row>
    <row r="63" customFormat="false" ht="15" hidden="false" customHeight="false" outlineLevel="0" collapsed="false">
      <c r="A63" s="6" t="s">
        <v>65</v>
      </c>
      <c r="B63" s="6" t="s">
        <v>82</v>
      </c>
      <c r="C63" s="14" t="str">
        <f aca="false">INDEX(Plants!$C$2:$C$29,MATCH(A63,Plants!$A$2:$A$29,0))</f>
        <v>Thermal</v>
      </c>
      <c r="D63" s="15" t="n">
        <f aca="false">INDEX(Plants!$B$2:$B$29,MATCH(A63,Plants!$A$2:$A$29,0))</f>
        <v>190</v>
      </c>
      <c r="E63" s="16" t="n">
        <v>5.08</v>
      </c>
      <c r="F63" s="17" t="n">
        <v>2.67</v>
      </c>
      <c r="G63" s="16" t="n">
        <v>5.15</v>
      </c>
      <c r="H63" s="18" t="n">
        <f aca="false">E63/D63*100</f>
        <v>2.67368421052632</v>
      </c>
      <c r="I63" s="18" t="n">
        <f aca="false">H63-F63</f>
        <v>0.00368421052631618</v>
      </c>
      <c r="J63" s="19" t="n">
        <f aca="false">IF(E63=0,0,G63/E63*100)</f>
        <v>101.377952755906</v>
      </c>
    </row>
    <row r="64" customFormat="false" ht="15" hidden="false" customHeight="false" outlineLevel="0" collapsed="false">
      <c r="A64" s="6" t="s">
        <v>65</v>
      </c>
      <c r="B64" s="6" t="s">
        <v>83</v>
      </c>
      <c r="C64" s="14" t="str">
        <f aca="false">INDEX(Plants!$C$2:$C$29,MATCH(A64,Plants!$A$2:$A$29,0))</f>
        <v>Thermal</v>
      </c>
      <c r="D64" s="15" t="n">
        <f aca="false">INDEX(Plants!$B$2:$B$29,MATCH(A64,Plants!$A$2:$A$29,0))</f>
        <v>190</v>
      </c>
      <c r="E64" s="16" t="n">
        <v>24.03</v>
      </c>
      <c r="F64" s="17" t="n">
        <v>12.65</v>
      </c>
      <c r="G64" s="16" t="n">
        <v>11.85</v>
      </c>
      <c r="H64" s="18" t="n">
        <f aca="false">E64/D64*100</f>
        <v>12.6473684210526</v>
      </c>
      <c r="I64" s="18" t="n">
        <f aca="false">H64-F64</f>
        <v>-0.00263157894736743</v>
      </c>
      <c r="J64" s="19" t="n">
        <f aca="false">IF(E64=0,0,G64/E64*100)</f>
        <v>49.3133583021223</v>
      </c>
    </row>
    <row r="65" customFormat="false" ht="15" hidden="false" customHeight="false" outlineLevel="0" collapsed="false">
      <c r="A65" s="6" t="s">
        <v>66</v>
      </c>
      <c r="B65" s="6" t="s">
        <v>81</v>
      </c>
      <c r="C65" s="14" t="str">
        <f aca="false">INDEX(Plants!$C$2:$C$29,MATCH(A65,Plants!$A$2:$A$29,0))</f>
        <v>Thermal</v>
      </c>
      <c r="D65" s="15" t="n">
        <f aca="false">INDEX(Plants!$B$2:$B$29,MATCH(A65,Plants!$A$2:$A$29,0))</f>
        <v>750</v>
      </c>
      <c r="E65" s="16" t="n">
        <v>64</v>
      </c>
      <c r="F65" s="17" t="n">
        <v>8.53</v>
      </c>
      <c r="G65" s="16" t="n">
        <v>46.97</v>
      </c>
      <c r="H65" s="18" t="n">
        <f aca="false">E65/D65*100</f>
        <v>8.53333333333333</v>
      </c>
      <c r="I65" s="18" t="n">
        <f aca="false">H65-F65</f>
        <v>0.00333333333333385</v>
      </c>
      <c r="J65" s="19" t="n">
        <f aca="false">IF(E65=0,0,G65/E65*100)</f>
        <v>73.390625</v>
      </c>
    </row>
    <row r="66" customFormat="false" ht="15" hidden="false" customHeight="false" outlineLevel="0" collapsed="false">
      <c r="A66" s="6" t="s">
        <v>66</v>
      </c>
      <c r="B66" s="6" t="s">
        <v>82</v>
      </c>
      <c r="C66" s="14" t="str">
        <f aca="false">INDEX(Plants!$C$2:$C$29,MATCH(A66,Plants!$A$2:$A$29,0))</f>
        <v>Thermal</v>
      </c>
      <c r="D66" s="15" t="n">
        <f aca="false">INDEX(Plants!$B$2:$B$29,MATCH(A66,Plants!$A$2:$A$29,0))</f>
        <v>750</v>
      </c>
      <c r="E66" s="16" t="n">
        <v>113.8</v>
      </c>
      <c r="F66" s="17" t="n">
        <v>15.17</v>
      </c>
      <c r="G66" s="16" t="n">
        <v>103.94</v>
      </c>
      <c r="H66" s="18" t="n">
        <f aca="false">E66/D66*100</f>
        <v>15.1733333333333</v>
      </c>
      <c r="I66" s="18" t="n">
        <f aca="false">H66-F66</f>
        <v>0.00333333333333385</v>
      </c>
      <c r="J66" s="19" t="n">
        <f aca="false">IF(E66=0,0,G66/E66*100)</f>
        <v>91.3356766256591</v>
      </c>
    </row>
    <row r="67" customFormat="false" ht="15" hidden="false" customHeight="false" outlineLevel="0" collapsed="false">
      <c r="A67" s="6" t="s">
        <v>66</v>
      </c>
      <c r="B67" s="6" t="s">
        <v>83</v>
      </c>
      <c r="C67" s="14" t="str">
        <f aca="false">INDEX(Plants!$C$2:$C$29,MATCH(A67,Plants!$A$2:$A$29,0))</f>
        <v>Thermal</v>
      </c>
      <c r="D67" s="15" t="n">
        <f aca="false">INDEX(Plants!$B$2:$B$29,MATCH(A67,Plants!$A$2:$A$29,0))</f>
        <v>750</v>
      </c>
      <c r="E67" s="16" t="n">
        <v>83.02</v>
      </c>
      <c r="F67" s="17" t="n">
        <v>11.07</v>
      </c>
      <c r="G67" s="16" t="n">
        <v>53.85</v>
      </c>
      <c r="H67" s="18" t="n">
        <f aca="false">E67/D67*100</f>
        <v>11.0693333333333</v>
      </c>
      <c r="I67" s="18" t="n">
        <f aca="false">H67-F67</f>
        <v>-0.000666666666667481</v>
      </c>
      <c r="J67" s="19" t="n">
        <f aca="false">IF(E67=0,0,G67/E67*100)</f>
        <v>64.8638882197061</v>
      </c>
    </row>
    <row r="68" customFormat="false" ht="15" hidden="false" customHeight="false" outlineLevel="0" collapsed="false">
      <c r="A68" s="6" t="s">
        <v>67</v>
      </c>
      <c r="B68" s="6" t="s">
        <v>81</v>
      </c>
      <c r="C68" s="14" t="str">
        <f aca="false">INDEX(Plants!$C$2:$C$29,MATCH(A68,Plants!$A$2:$A$29,0))</f>
        <v>Thermal</v>
      </c>
      <c r="D68" s="15" t="n">
        <f aca="false">INDEX(Plants!$B$2:$B$29,MATCH(A68,Plants!$A$2:$A$29,0))</f>
        <v>180</v>
      </c>
      <c r="E68" s="16" t="n">
        <v>54.89</v>
      </c>
      <c r="F68" s="17" t="n">
        <v>30.49</v>
      </c>
      <c r="G68" s="16" t="n">
        <v>44.74</v>
      </c>
      <c r="H68" s="18" t="n">
        <f aca="false">E68/D68*100</f>
        <v>30.4944444444444</v>
      </c>
      <c r="I68" s="18" t="n">
        <f aca="false">H68-F68</f>
        <v>0.00444444444444869</v>
      </c>
      <c r="J68" s="19" t="n">
        <f aca="false">IF(E68=0,0,G68/E68*100)</f>
        <v>81.5084714884314</v>
      </c>
    </row>
    <row r="69" customFormat="false" ht="15" hidden="false" customHeight="false" outlineLevel="0" collapsed="false">
      <c r="A69" s="6" t="s">
        <v>67</v>
      </c>
      <c r="B69" s="6" t="s">
        <v>82</v>
      </c>
      <c r="C69" s="14" t="str">
        <f aca="false">INDEX(Plants!$C$2:$C$29,MATCH(A69,Plants!$A$2:$A$29,0))</f>
        <v>Thermal</v>
      </c>
      <c r="D69" s="15" t="n">
        <f aca="false">INDEX(Plants!$B$2:$B$29,MATCH(A69,Plants!$A$2:$A$29,0))</f>
        <v>180</v>
      </c>
      <c r="E69" s="16" t="n">
        <v>3.68</v>
      </c>
      <c r="F69" s="17" t="n">
        <v>2.05</v>
      </c>
      <c r="G69" s="16" t="n">
        <v>2.04</v>
      </c>
      <c r="H69" s="18" t="n">
        <f aca="false">E69/D69*100</f>
        <v>2.04444444444444</v>
      </c>
      <c r="I69" s="18" t="n">
        <f aca="false">H69-F69</f>
        <v>-0.00555555555555509</v>
      </c>
      <c r="J69" s="19" t="n">
        <f aca="false">IF(E69=0,0,G69/E69*100)</f>
        <v>55.4347826086957</v>
      </c>
    </row>
    <row r="70" customFormat="false" ht="15" hidden="false" customHeight="false" outlineLevel="0" collapsed="false">
      <c r="A70" s="6" t="s">
        <v>67</v>
      </c>
      <c r="B70" s="6" t="s">
        <v>83</v>
      </c>
      <c r="C70" s="14" t="str">
        <f aca="false">INDEX(Plants!$C$2:$C$29,MATCH(A70,Plants!$A$2:$A$29,0))</f>
        <v>Thermal</v>
      </c>
      <c r="D70" s="15" t="n">
        <f aca="false">INDEX(Plants!$B$2:$B$29,MATCH(A70,Plants!$A$2:$A$29,0))</f>
        <v>180</v>
      </c>
      <c r="E70" s="16" t="n">
        <v>12.35</v>
      </c>
      <c r="F70" s="17" t="n">
        <v>6.86</v>
      </c>
      <c r="G70" s="16" t="n">
        <v>8.88</v>
      </c>
      <c r="H70" s="18" t="n">
        <f aca="false">E70/D70*100</f>
        <v>6.86111111111111</v>
      </c>
      <c r="I70" s="18" t="n">
        <f aca="false">H70-F70</f>
        <v>0.0011111111111104</v>
      </c>
      <c r="J70" s="19" t="n">
        <f aca="false">IF(E70=0,0,G70/E70*100)</f>
        <v>71.9028340080972</v>
      </c>
    </row>
    <row r="71" customFormat="false" ht="15" hidden="false" customHeight="false" outlineLevel="0" collapsed="false">
      <c r="A71" s="6" t="s">
        <v>68</v>
      </c>
      <c r="B71" s="6" t="s">
        <v>81</v>
      </c>
      <c r="C71" s="14" t="str">
        <f aca="false">INDEX(Plants!$C$2:$C$29,MATCH(A71,Plants!$A$2:$A$29,0))</f>
        <v>Thermal</v>
      </c>
      <c r="D71" s="15" t="n">
        <f aca="false">INDEX(Plants!$B$2:$B$29,MATCH(A71,Plants!$A$2:$A$29,0))</f>
        <v>500</v>
      </c>
      <c r="E71" s="16" t="n">
        <v>0</v>
      </c>
      <c r="F71" s="17" t="n">
        <v>0</v>
      </c>
      <c r="G71" s="16" t="n">
        <v>0</v>
      </c>
      <c r="H71" s="18" t="n">
        <f aca="false">E71/D71*100</f>
        <v>0</v>
      </c>
      <c r="I71" s="18" t="n">
        <f aca="false">H71-F71</f>
        <v>0</v>
      </c>
      <c r="J71" s="19" t="n">
        <f aca="false">IF(E71=0,0,G71/E71*100)</f>
        <v>0</v>
      </c>
    </row>
    <row r="72" customFormat="false" ht="15" hidden="false" customHeight="false" outlineLevel="0" collapsed="false">
      <c r="A72" s="6" t="s">
        <v>68</v>
      </c>
      <c r="B72" s="6" t="s">
        <v>82</v>
      </c>
      <c r="C72" s="14" t="str">
        <f aca="false">INDEX(Plants!$C$2:$C$29,MATCH(A72,Plants!$A$2:$A$29,0))</f>
        <v>Thermal</v>
      </c>
      <c r="D72" s="15" t="n">
        <f aca="false">INDEX(Plants!$B$2:$B$29,MATCH(A72,Plants!$A$2:$A$29,0))</f>
        <v>500</v>
      </c>
      <c r="E72" s="16" t="n">
        <v>0</v>
      </c>
      <c r="F72" s="17" t="n">
        <v>0</v>
      </c>
      <c r="G72" s="16" t="n">
        <v>0</v>
      </c>
      <c r="H72" s="18" t="n">
        <f aca="false">E72/D72*100</f>
        <v>0</v>
      </c>
      <c r="I72" s="18" t="n">
        <f aca="false">H72-F72</f>
        <v>0</v>
      </c>
      <c r="J72" s="19" t="n">
        <f aca="false">IF(E72=0,0,G72/E72*100)</f>
        <v>0</v>
      </c>
    </row>
    <row r="73" customFormat="false" ht="15" hidden="false" customHeight="false" outlineLevel="0" collapsed="false">
      <c r="A73" s="6" t="s">
        <v>68</v>
      </c>
      <c r="B73" s="6" t="s">
        <v>83</v>
      </c>
      <c r="C73" s="14" t="str">
        <f aca="false">INDEX(Plants!$C$2:$C$29,MATCH(A73,Plants!$A$2:$A$29,0))</f>
        <v>Thermal</v>
      </c>
      <c r="D73" s="15" t="n">
        <f aca="false">INDEX(Plants!$B$2:$B$29,MATCH(A73,Plants!$A$2:$A$29,0))</f>
        <v>500</v>
      </c>
      <c r="E73" s="16" t="n">
        <v>23.2</v>
      </c>
      <c r="F73" s="17" t="n">
        <v>4.64</v>
      </c>
      <c r="G73" s="16" t="n">
        <v>14.32</v>
      </c>
      <c r="H73" s="18" t="n">
        <f aca="false">E73/D73*100</f>
        <v>4.64</v>
      </c>
      <c r="I73" s="18" t="n">
        <f aca="false">H73-F73</f>
        <v>0</v>
      </c>
      <c r="J73" s="19" t="n">
        <f aca="false">IF(E73=0,0,G73/E73*100)</f>
        <v>61.7241379310345</v>
      </c>
    </row>
    <row r="74" customFormat="false" ht="15" hidden="false" customHeight="false" outlineLevel="0" collapsed="false">
      <c r="A74" s="6" t="s">
        <v>69</v>
      </c>
      <c r="B74" s="6" t="s">
        <v>81</v>
      </c>
      <c r="C74" s="14" t="str">
        <f aca="false">INDEX(Plants!$C$2:$C$29,MATCH(A74,Plants!$A$2:$A$29,0))</f>
        <v>Thermal</v>
      </c>
      <c r="D74" s="15" t="n">
        <f aca="false">INDEX(Plants!$B$2:$B$29,MATCH(A74,Plants!$A$2:$A$29,0))</f>
        <v>500</v>
      </c>
      <c r="E74" s="16" t="n">
        <v>99.92</v>
      </c>
      <c r="F74" s="17" t="n">
        <v>19.98</v>
      </c>
      <c r="G74" s="16" t="n">
        <v>73.66</v>
      </c>
      <c r="H74" s="18" t="n">
        <f aca="false">E74/D74*100</f>
        <v>19.984</v>
      </c>
      <c r="I74" s="18" t="n">
        <f aca="false">H74-F74</f>
        <v>0.00399999999999778</v>
      </c>
      <c r="J74" s="19" t="n">
        <f aca="false">IF(E74=0,0,G74/E74*100)</f>
        <v>73.7189751801441</v>
      </c>
    </row>
    <row r="75" customFormat="false" ht="15" hidden="false" customHeight="false" outlineLevel="0" collapsed="false">
      <c r="A75" s="6" t="s">
        <v>69</v>
      </c>
      <c r="B75" s="6" t="s">
        <v>82</v>
      </c>
      <c r="C75" s="14" t="str">
        <f aca="false">INDEX(Plants!$C$2:$C$29,MATCH(A75,Plants!$A$2:$A$29,0))</f>
        <v>Thermal</v>
      </c>
      <c r="D75" s="15" t="n">
        <f aca="false">INDEX(Plants!$B$2:$B$29,MATCH(A75,Plants!$A$2:$A$29,0))</f>
        <v>500</v>
      </c>
      <c r="E75" s="16" t="n">
        <v>52.24</v>
      </c>
      <c r="F75" s="17" t="n">
        <v>10.45</v>
      </c>
      <c r="G75" s="16" t="n">
        <v>42.86</v>
      </c>
      <c r="H75" s="18" t="n">
        <f aca="false">E75/D75*100</f>
        <v>10.448</v>
      </c>
      <c r="I75" s="18" t="n">
        <f aca="false">H75-F75</f>
        <v>-0.00199999999999889</v>
      </c>
      <c r="J75" s="19" t="n">
        <f aca="false">IF(E75=0,0,G75/E75*100)</f>
        <v>82.0444104134763</v>
      </c>
    </row>
    <row r="76" customFormat="false" ht="15" hidden="false" customHeight="false" outlineLevel="0" collapsed="false">
      <c r="A76" s="6" t="s">
        <v>69</v>
      </c>
      <c r="B76" s="6" t="s">
        <v>83</v>
      </c>
      <c r="C76" s="14" t="str">
        <f aca="false">INDEX(Plants!$C$2:$C$29,MATCH(A76,Plants!$A$2:$A$29,0))</f>
        <v>Thermal</v>
      </c>
      <c r="D76" s="15" t="n">
        <f aca="false">INDEX(Plants!$B$2:$B$29,MATCH(A76,Plants!$A$2:$A$29,0))</f>
        <v>500</v>
      </c>
      <c r="E76" s="16" t="n">
        <v>16.8</v>
      </c>
      <c r="F76" s="17" t="n">
        <v>3.36</v>
      </c>
      <c r="G76" s="16" t="n">
        <v>3.46</v>
      </c>
      <c r="H76" s="18" t="n">
        <f aca="false">E76/D76*100</f>
        <v>3.36</v>
      </c>
      <c r="I76" s="18" t="n">
        <f aca="false">H76-F76</f>
        <v>0</v>
      </c>
      <c r="J76" s="19" t="n">
        <f aca="false">IF(E76=0,0,G76/E76*100)</f>
        <v>20.5952380952381</v>
      </c>
    </row>
    <row r="77" customFormat="false" ht="15" hidden="false" customHeight="false" outlineLevel="0" collapsed="false">
      <c r="A77" s="6" t="s">
        <v>70</v>
      </c>
      <c r="B77" s="6" t="s">
        <v>81</v>
      </c>
      <c r="C77" s="14" t="str">
        <f aca="false">INDEX(Plants!$C$2:$C$29,MATCH(A77,Plants!$A$2:$A$29,0))</f>
        <v>Thermal</v>
      </c>
      <c r="D77" s="15" t="n">
        <f aca="false">INDEX(Plants!$B$2:$B$29,MATCH(A77,Plants!$A$2:$A$29,0))</f>
        <v>726</v>
      </c>
      <c r="E77" s="16" t="n">
        <v>110.68</v>
      </c>
      <c r="F77" s="17" t="n">
        <v>15.24</v>
      </c>
      <c r="G77" s="16" t="n">
        <v>95.03</v>
      </c>
      <c r="H77" s="18" t="n">
        <f aca="false">E77/D77*100</f>
        <v>15.2451790633609</v>
      </c>
      <c r="I77" s="18" t="n">
        <f aca="false">H77-F77</f>
        <v>0.00517906336088281</v>
      </c>
      <c r="J77" s="19" t="n">
        <f aca="false">IF(E77=0,0,G77/E77*100)</f>
        <v>85.8601373328515</v>
      </c>
    </row>
    <row r="78" customFormat="false" ht="15" hidden="false" customHeight="false" outlineLevel="0" collapsed="false">
      <c r="A78" s="6" t="s">
        <v>70</v>
      </c>
      <c r="B78" s="6" t="s">
        <v>82</v>
      </c>
      <c r="C78" s="14" t="str">
        <f aca="false">INDEX(Plants!$C$2:$C$29,MATCH(A78,Plants!$A$2:$A$29,0))</f>
        <v>Thermal</v>
      </c>
      <c r="D78" s="15" t="n">
        <f aca="false">INDEX(Plants!$B$2:$B$29,MATCH(A78,Plants!$A$2:$A$29,0))</f>
        <v>726</v>
      </c>
      <c r="E78" s="16" t="n">
        <v>71.91</v>
      </c>
      <c r="F78" s="17" t="n">
        <v>9.91</v>
      </c>
      <c r="G78" s="16" t="n">
        <v>58.42</v>
      </c>
      <c r="H78" s="18" t="n">
        <f aca="false">E78/D78*100</f>
        <v>9.90495867768595</v>
      </c>
      <c r="I78" s="18" t="n">
        <f aca="false">H78-F78</f>
        <v>-0.00504132231404952</v>
      </c>
      <c r="J78" s="19" t="n">
        <f aca="false">IF(E78=0,0,G78/E78*100)</f>
        <v>81.2404394381866</v>
      </c>
    </row>
    <row r="79" customFormat="false" ht="15" hidden="false" customHeight="false" outlineLevel="0" collapsed="false">
      <c r="A79" s="6" t="s">
        <v>70</v>
      </c>
      <c r="B79" s="6" t="s">
        <v>83</v>
      </c>
      <c r="C79" s="14" t="str">
        <f aca="false">INDEX(Plants!$C$2:$C$29,MATCH(A79,Plants!$A$2:$A$29,0))</f>
        <v>Thermal</v>
      </c>
      <c r="D79" s="15" t="n">
        <f aca="false">INDEX(Plants!$B$2:$B$29,MATCH(A79,Plants!$A$2:$A$29,0))</f>
        <v>726</v>
      </c>
      <c r="E79" s="16" t="n">
        <v>20.91</v>
      </c>
      <c r="F79" s="17" t="n">
        <v>2.88</v>
      </c>
      <c r="G79" s="16" t="n">
        <v>25.72</v>
      </c>
      <c r="H79" s="18" t="n">
        <f aca="false">E79/D79*100</f>
        <v>2.8801652892562</v>
      </c>
      <c r="I79" s="18" t="n">
        <f aca="false">H79-F79</f>
        <v>0.00016528925619852</v>
      </c>
      <c r="J79" s="19" t="n">
        <f aca="false">IF(E79=0,0,G79/E79*100)</f>
        <v>123.003347680536</v>
      </c>
    </row>
    <row r="80" customFormat="false" ht="15" hidden="false" customHeight="false" outlineLevel="0" collapsed="false">
      <c r="A80" s="6" t="s">
        <v>71</v>
      </c>
      <c r="B80" s="6" t="s">
        <v>81</v>
      </c>
      <c r="C80" s="14" t="str">
        <f aca="false">INDEX(Plants!$C$2:$C$29,MATCH(A80,Plants!$A$2:$A$29,0))</f>
        <v>Thermal</v>
      </c>
      <c r="D80" s="15" t="n">
        <f aca="false">INDEX(Plants!$B$2:$B$29,MATCH(A80,Plants!$A$2:$A$29,0))</f>
        <v>720</v>
      </c>
      <c r="E80" s="16" t="n">
        <v>20.74</v>
      </c>
      <c r="F80" s="17" t="n">
        <v>2.88</v>
      </c>
      <c r="G80" s="16" t="n">
        <v>19.16</v>
      </c>
      <c r="H80" s="18" t="n">
        <f aca="false">E80/D80*100</f>
        <v>2.88055555555556</v>
      </c>
      <c r="I80" s="18" t="n">
        <f aca="false">H80-F80</f>
        <v>0.000555555555555198</v>
      </c>
      <c r="J80" s="19" t="n">
        <f aca="false">IF(E80=0,0,G80/E80*100)</f>
        <v>92.3818707810993</v>
      </c>
    </row>
    <row r="81" customFormat="false" ht="15" hidden="false" customHeight="false" outlineLevel="0" collapsed="false">
      <c r="A81" s="6" t="s">
        <v>71</v>
      </c>
      <c r="B81" s="6" t="s">
        <v>82</v>
      </c>
      <c r="C81" s="14" t="str">
        <f aca="false">INDEX(Plants!$C$2:$C$29,MATCH(A81,Plants!$A$2:$A$29,0))</f>
        <v>Thermal</v>
      </c>
      <c r="D81" s="15" t="n">
        <f aca="false">INDEX(Plants!$B$2:$B$29,MATCH(A81,Plants!$A$2:$A$29,0))</f>
        <v>720</v>
      </c>
      <c r="E81" s="16" t="n">
        <v>19.26</v>
      </c>
      <c r="F81" s="17" t="n">
        <v>2.67</v>
      </c>
      <c r="G81" s="16" t="n">
        <v>14.59</v>
      </c>
      <c r="H81" s="18" t="n">
        <f aca="false">E81/D81*100</f>
        <v>2.675</v>
      </c>
      <c r="I81" s="18" t="n">
        <f aca="false">H81-F81</f>
        <v>0.00500000000000034</v>
      </c>
      <c r="J81" s="19" t="n">
        <f aca="false">IF(E81=0,0,G81/E81*100)</f>
        <v>75.7528556593977</v>
      </c>
    </row>
    <row r="82" customFormat="false" ht="15" hidden="false" customHeight="false" outlineLevel="0" collapsed="false">
      <c r="A82" s="6" t="s">
        <v>71</v>
      </c>
      <c r="B82" s="6" t="s">
        <v>83</v>
      </c>
      <c r="C82" s="14" t="str">
        <f aca="false">INDEX(Plants!$C$2:$C$29,MATCH(A82,Plants!$A$2:$A$29,0))</f>
        <v>Thermal</v>
      </c>
      <c r="D82" s="15" t="n">
        <f aca="false">INDEX(Plants!$B$2:$B$29,MATCH(A82,Plants!$A$2:$A$29,0))</f>
        <v>720</v>
      </c>
      <c r="E82" s="16" t="n">
        <v>14.03</v>
      </c>
      <c r="F82" s="17" t="n">
        <v>1.95</v>
      </c>
      <c r="G82" s="16" t="n">
        <v>11.17</v>
      </c>
      <c r="H82" s="18" t="n">
        <f aca="false">E82/D82*100</f>
        <v>1.94861111111111</v>
      </c>
      <c r="I82" s="18" t="n">
        <f aca="false">H82-F82</f>
        <v>-0.00138888888888888</v>
      </c>
      <c r="J82" s="19" t="n">
        <f aca="false">IF(E82=0,0,G82/E82*100)</f>
        <v>79.6151104775481</v>
      </c>
    </row>
    <row r="83" customFormat="false" ht="15" hidden="false" customHeight="false" outlineLevel="0" collapsed="false">
      <c r="A83" s="6" t="s">
        <v>72</v>
      </c>
      <c r="B83" s="6" t="s">
        <v>81</v>
      </c>
      <c r="C83" s="14" t="str">
        <f aca="false">INDEX(Plants!$C$2:$C$29,MATCH(A83,Plants!$A$2:$A$29,0))</f>
        <v>Thermal</v>
      </c>
      <c r="D83" s="15" t="n">
        <f aca="false">INDEX(Plants!$B$2:$B$29,MATCH(A83,Plants!$A$2:$A$29,0))</f>
        <v>435</v>
      </c>
      <c r="E83" s="16" t="n">
        <v>225.24</v>
      </c>
      <c r="F83" s="17" t="n">
        <v>51.78</v>
      </c>
      <c r="G83" s="16" t="n">
        <v>220.9</v>
      </c>
      <c r="H83" s="18" t="n">
        <f aca="false">E83/D83*100</f>
        <v>51.7793103448276</v>
      </c>
      <c r="I83" s="18" t="n">
        <f aca="false">H83-F83</f>
        <v>-0.000689655172408266</v>
      </c>
      <c r="J83" s="19" t="n">
        <f aca="false">IF(E83=0,0,G83/E83*100)</f>
        <v>98.0731664002841</v>
      </c>
    </row>
    <row r="84" customFormat="false" ht="15" hidden="false" customHeight="false" outlineLevel="0" collapsed="false">
      <c r="A84" s="6" t="s">
        <v>72</v>
      </c>
      <c r="B84" s="6" t="s">
        <v>82</v>
      </c>
      <c r="C84" s="14" t="str">
        <f aca="false">INDEX(Plants!$C$2:$C$29,MATCH(A84,Plants!$A$2:$A$29,0))</f>
        <v>Thermal</v>
      </c>
      <c r="D84" s="15" t="n">
        <f aca="false">INDEX(Plants!$B$2:$B$29,MATCH(A84,Plants!$A$2:$A$29,0))</f>
        <v>435</v>
      </c>
      <c r="E84" s="16" t="n">
        <v>80.72</v>
      </c>
      <c r="F84" s="17" t="n">
        <v>18.56</v>
      </c>
      <c r="G84" s="16" t="n">
        <v>82.38</v>
      </c>
      <c r="H84" s="18" t="n">
        <f aca="false">E84/D84*100</f>
        <v>18.5563218390805</v>
      </c>
      <c r="I84" s="18" t="n">
        <f aca="false">H84-F84</f>
        <v>-0.00367816091954154</v>
      </c>
      <c r="J84" s="19" t="n">
        <f aca="false">IF(E84=0,0,G84/E84*100)</f>
        <v>102.056491575818</v>
      </c>
    </row>
    <row r="85" customFormat="false" ht="15" hidden="false" customHeight="false" outlineLevel="0" collapsed="false">
      <c r="A85" s="6" t="s">
        <v>72</v>
      </c>
      <c r="B85" s="6" t="s">
        <v>83</v>
      </c>
      <c r="C85" s="14" t="str">
        <f aca="false">INDEX(Plants!$C$2:$C$29,MATCH(A85,Plants!$A$2:$A$29,0))</f>
        <v>Thermal</v>
      </c>
      <c r="D85" s="15" t="n">
        <f aca="false">INDEX(Plants!$B$2:$B$29,MATCH(A85,Plants!$A$2:$A$29,0))</f>
        <v>435</v>
      </c>
      <c r="E85" s="16" t="n">
        <v>2.44</v>
      </c>
      <c r="F85" s="17" t="n">
        <v>0.56</v>
      </c>
      <c r="G85" s="16" t="n">
        <v>2.11</v>
      </c>
      <c r="H85" s="18" t="n">
        <f aca="false">E85/D85*100</f>
        <v>0.560919540229885</v>
      </c>
      <c r="I85" s="18" t="n">
        <f aca="false">H85-F85</f>
        <v>0.000919540229884941</v>
      </c>
      <c r="J85" s="19" t="n">
        <f aca="false">IF(E85=0,0,G85/E85*100)</f>
        <v>86.4754098360656</v>
      </c>
    </row>
  </sheetData>
  <autoFilter ref="A1:J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2"/>
  </cols>
  <sheetData>
    <row r="1" customFormat="false" ht="42" hidden="false" customHeight="true" outlineLevel="0" collapsed="false">
      <c r="A1" s="5" t="s">
        <v>84</v>
      </c>
      <c r="B1" s="5" t="s">
        <v>74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</row>
    <row r="2" customFormat="false" ht="15" hidden="false" customHeight="false" outlineLevel="0" collapsed="false">
      <c r="A2" s="6" t="s">
        <v>90</v>
      </c>
      <c r="B2" s="6" t="s">
        <v>81</v>
      </c>
      <c r="C2" s="16" t="n">
        <v>576.75</v>
      </c>
      <c r="D2" s="16" t="n">
        <v>605.85</v>
      </c>
      <c r="E2" s="17" t="n">
        <v>95.2</v>
      </c>
      <c r="F2" s="18" t="n">
        <f aca="false">C2/D2*100</f>
        <v>95.1968308987373</v>
      </c>
      <c r="G2" s="18" t="n">
        <f aca="false">F2-E2</f>
        <v>-0.00316910126269931</v>
      </c>
    </row>
    <row r="3" customFormat="false" ht="15" hidden="false" customHeight="false" outlineLevel="0" collapsed="false">
      <c r="A3" s="6" t="s">
        <v>90</v>
      </c>
      <c r="B3" s="6" t="s">
        <v>82</v>
      </c>
      <c r="C3" s="16" t="n">
        <v>550.78</v>
      </c>
      <c r="D3" s="16" t="n">
        <v>553.01</v>
      </c>
      <c r="E3" s="17" t="n">
        <v>99.6</v>
      </c>
      <c r="F3" s="18" t="n">
        <f aca="false">C3/D3*100</f>
        <v>99.5967523191262</v>
      </c>
      <c r="G3" s="18" t="n">
        <f aca="false">F3-E3</f>
        <v>-0.0032476808737556</v>
      </c>
    </row>
    <row r="4" customFormat="false" ht="15" hidden="false" customHeight="false" outlineLevel="0" collapsed="false">
      <c r="A4" s="6" t="s">
        <v>90</v>
      </c>
      <c r="B4" s="6" t="s">
        <v>83</v>
      </c>
      <c r="C4" s="16" t="n">
        <v>520.26</v>
      </c>
      <c r="D4" s="16" t="n">
        <v>589.31</v>
      </c>
      <c r="E4" s="17" t="n">
        <v>88.28</v>
      </c>
      <c r="F4" s="18" t="n">
        <f aca="false">C4/D4*100</f>
        <v>88.2829071286759</v>
      </c>
      <c r="G4" s="18" t="n">
        <f aca="false">F4-E4</f>
        <v>0.00290712867591481</v>
      </c>
    </row>
    <row r="5" customFormat="false" ht="15" hidden="false" customHeight="false" outlineLevel="0" collapsed="false">
      <c r="A5" s="6" t="s">
        <v>91</v>
      </c>
      <c r="B5" s="6" t="s">
        <v>81</v>
      </c>
      <c r="C5" s="16" t="n">
        <v>353.04</v>
      </c>
      <c r="D5" s="16" t="n">
        <v>353.04</v>
      </c>
      <c r="E5" s="17" t="n">
        <v>100</v>
      </c>
      <c r="F5" s="18" t="n">
        <f aca="false">C5/D5*100</f>
        <v>100</v>
      </c>
      <c r="G5" s="18" t="n">
        <f aca="false">F5-E5</f>
        <v>0</v>
      </c>
    </row>
    <row r="6" customFormat="false" ht="15" hidden="false" customHeight="false" outlineLevel="0" collapsed="false">
      <c r="A6" s="6" t="s">
        <v>91</v>
      </c>
      <c r="B6" s="6" t="s">
        <v>82</v>
      </c>
      <c r="C6" s="16" t="n">
        <v>276.96</v>
      </c>
      <c r="D6" s="16" t="n">
        <v>280.82</v>
      </c>
      <c r="E6" s="17" t="n">
        <v>98.62</v>
      </c>
      <c r="F6" s="18" t="n">
        <f aca="false">C6/D6*100</f>
        <v>98.6254540274909</v>
      </c>
      <c r="G6" s="18" t="n">
        <f aca="false">F6-E6</f>
        <v>0.00545402749091295</v>
      </c>
    </row>
    <row r="7" customFormat="false" ht="15" hidden="false" customHeight="false" outlineLevel="0" collapsed="false">
      <c r="A7" s="6" t="s">
        <v>91</v>
      </c>
      <c r="B7" s="6" t="s">
        <v>83</v>
      </c>
      <c r="C7" s="16" t="n">
        <v>262.99</v>
      </c>
      <c r="D7" s="16" t="n">
        <v>275.48</v>
      </c>
      <c r="E7" s="17" t="n">
        <v>95.46</v>
      </c>
      <c r="F7" s="18" t="n">
        <f aca="false">C7/D7*100</f>
        <v>95.4660955423261</v>
      </c>
      <c r="G7" s="18" t="n">
        <f aca="false">F7-E7</f>
        <v>0.00609554232613618</v>
      </c>
    </row>
    <row r="8" customFormat="false" ht="15" hidden="false" customHeight="false" outlineLevel="0" collapsed="false">
      <c r="A8" s="6" t="s">
        <v>92</v>
      </c>
      <c r="B8" s="6" t="s">
        <v>81</v>
      </c>
      <c r="C8" s="16" t="n">
        <v>480.78</v>
      </c>
      <c r="D8" s="16" t="n">
        <v>500.72</v>
      </c>
      <c r="E8" s="17" t="n">
        <v>96.02</v>
      </c>
      <c r="F8" s="18" t="n">
        <f aca="false">C8/D8*100</f>
        <v>96.0177344623742</v>
      </c>
      <c r="G8" s="18" t="n">
        <f aca="false">F8-E8</f>
        <v>-0.00226553762583137</v>
      </c>
    </row>
    <row r="9" customFormat="false" ht="15" hidden="false" customHeight="false" outlineLevel="0" collapsed="false">
      <c r="A9" s="6" t="s">
        <v>92</v>
      </c>
      <c r="B9" s="6" t="s">
        <v>82</v>
      </c>
      <c r="C9" s="16" t="n">
        <v>445.26</v>
      </c>
      <c r="D9" s="16" t="n">
        <v>452.73</v>
      </c>
      <c r="E9" s="17" t="n">
        <v>98.35</v>
      </c>
      <c r="F9" s="18" t="n">
        <f aca="false">C9/D9*100</f>
        <v>98.3500099396992</v>
      </c>
      <c r="G9" s="18" t="n">
        <f aca="false">F9-E9</f>
        <v>9.93969916862625E-006</v>
      </c>
    </row>
    <row r="10" customFormat="false" ht="15" hidden="false" customHeight="false" outlineLevel="0" collapsed="false">
      <c r="A10" s="6" t="s">
        <v>92</v>
      </c>
      <c r="B10" s="6" t="s">
        <v>83</v>
      </c>
      <c r="C10" s="16" t="n">
        <v>430.21</v>
      </c>
      <c r="D10" s="16" t="n">
        <v>456.51</v>
      </c>
      <c r="E10" s="17" t="n">
        <v>94.24</v>
      </c>
      <c r="F10" s="18" t="n">
        <f aca="false">C10/D10*100</f>
        <v>94.2388994764627</v>
      </c>
      <c r="G10" s="18" t="n">
        <f aca="false">F10-E10</f>
        <v>-0.00110052353727497</v>
      </c>
    </row>
    <row r="11" customFormat="false" ht="15" hidden="false" customHeight="false" outlineLevel="0" collapsed="false">
      <c r="A11" s="6" t="s">
        <v>93</v>
      </c>
      <c r="B11" s="6" t="s">
        <v>81</v>
      </c>
      <c r="C11" s="16" t="n">
        <v>315.06</v>
      </c>
      <c r="D11" s="16" t="n">
        <v>317.02</v>
      </c>
      <c r="E11" s="17" t="n">
        <v>99.38</v>
      </c>
      <c r="F11" s="18" t="n">
        <f aca="false">C11/D11*100</f>
        <v>99.3817424768154</v>
      </c>
      <c r="G11" s="18" t="n">
        <f aca="false">F11-E11</f>
        <v>0.00174247681535178</v>
      </c>
    </row>
    <row r="12" customFormat="false" ht="15" hidden="false" customHeight="false" outlineLevel="0" collapsed="false">
      <c r="A12" s="6" t="s">
        <v>93</v>
      </c>
      <c r="B12" s="6" t="s">
        <v>82</v>
      </c>
      <c r="C12" s="16" t="n">
        <v>262.94</v>
      </c>
      <c r="D12" s="16" t="n">
        <v>264.72</v>
      </c>
      <c r="E12" s="17" t="n">
        <v>99.33</v>
      </c>
      <c r="F12" s="18" t="n">
        <f aca="false">C12/D12*100</f>
        <v>99.3275914173466</v>
      </c>
      <c r="G12" s="18" t="n">
        <f aca="false">F12-E12</f>
        <v>-0.00240858265338773</v>
      </c>
    </row>
    <row r="13" customFormat="false" ht="15" hidden="false" customHeight="false" outlineLevel="0" collapsed="false">
      <c r="A13" s="6" t="s">
        <v>93</v>
      </c>
      <c r="B13" s="6" t="s">
        <v>83</v>
      </c>
      <c r="C13" s="16" t="n">
        <v>248.95</v>
      </c>
      <c r="D13" s="16" t="n">
        <v>260.73</v>
      </c>
      <c r="E13" s="17" t="n">
        <v>95.48</v>
      </c>
      <c r="F13" s="18" t="n">
        <f aca="false">C13/D13*100</f>
        <v>95.4819161584781</v>
      </c>
      <c r="G13" s="18" t="n">
        <f aca="false">F13-E13</f>
        <v>0.00191615847811022</v>
      </c>
    </row>
    <row r="14" customFormat="false" ht="15" hidden="false" customHeight="false" outlineLevel="0" collapsed="false">
      <c r="A14" s="6" t="s">
        <v>94</v>
      </c>
      <c r="B14" s="6" t="s">
        <v>81</v>
      </c>
      <c r="C14" s="16" t="n">
        <v>433.23</v>
      </c>
      <c r="D14" s="16" t="n">
        <v>459.11</v>
      </c>
      <c r="E14" s="17" t="n">
        <v>94.36</v>
      </c>
      <c r="F14" s="18" t="n">
        <f aca="false">C14/D14*100</f>
        <v>94.3630066868507</v>
      </c>
      <c r="G14" s="18" t="n">
        <f aca="false">F14-E14</f>
        <v>0.00300668685065375</v>
      </c>
    </row>
    <row r="15" customFormat="false" ht="15" hidden="false" customHeight="false" outlineLevel="0" collapsed="false">
      <c r="A15" s="6" t="s">
        <v>94</v>
      </c>
      <c r="B15" s="6" t="s">
        <v>82</v>
      </c>
      <c r="C15" s="16" t="n">
        <v>387.44</v>
      </c>
      <c r="D15" s="16" t="n">
        <v>391.58</v>
      </c>
      <c r="E15" s="17" t="n">
        <v>98.94</v>
      </c>
      <c r="F15" s="18" t="n">
        <f aca="false">C15/D15*100</f>
        <v>98.9427447775678</v>
      </c>
      <c r="G15" s="18" t="n">
        <f aca="false">F15-E15</f>
        <v>0.00274477756781266</v>
      </c>
    </row>
    <row r="16" customFormat="false" ht="15" hidden="false" customHeight="false" outlineLevel="0" collapsed="false">
      <c r="A16" s="6" t="s">
        <v>94</v>
      </c>
      <c r="B16" s="6" t="s">
        <v>83</v>
      </c>
      <c r="C16" s="16" t="n">
        <v>374.66</v>
      </c>
      <c r="D16" s="16" t="n">
        <v>397.12</v>
      </c>
      <c r="E16" s="17" t="n">
        <v>94.34</v>
      </c>
      <c r="F16" s="18" t="n">
        <f aca="false">C16/D16*100</f>
        <v>94.3442788074134</v>
      </c>
      <c r="G16" s="18" t="n">
        <f aca="false">F16-E16</f>
        <v>0.00427880741338527</v>
      </c>
    </row>
    <row r="17" customFormat="false" ht="15" hidden="false" customHeight="false" outlineLevel="0" collapsed="false">
      <c r="A17" s="6" t="s">
        <v>95</v>
      </c>
      <c r="B17" s="6" t="s">
        <v>81</v>
      </c>
      <c r="C17" s="16" t="n">
        <v>531.04</v>
      </c>
      <c r="D17" s="16" t="n">
        <v>562.27</v>
      </c>
      <c r="E17" s="17" t="n">
        <v>94.45</v>
      </c>
      <c r="F17" s="18" t="n">
        <f aca="false">C17/D17*100</f>
        <v>94.4457289202696</v>
      </c>
      <c r="G17" s="18" t="n">
        <f aca="false">F17-E17</f>
        <v>-0.00427107973038687</v>
      </c>
    </row>
    <row r="18" customFormat="false" ht="15" hidden="false" customHeight="false" outlineLevel="0" collapsed="false">
      <c r="A18" s="6" t="s">
        <v>95</v>
      </c>
      <c r="B18" s="6" t="s">
        <v>82</v>
      </c>
      <c r="C18" s="16" t="n">
        <v>533.42</v>
      </c>
      <c r="D18" s="16" t="n">
        <v>533.42</v>
      </c>
      <c r="E18" s="17" t="n">
        <v>100</v>
      </c>
      <c r="F18" s="18" t="n">
        <f aca="false">C18/D18*100</f>
        <v>100</v>
      </c>
      <c r="G18" s="18" t="n">
        <f aca="false">F18-E18</f>
        <v>0</v>
      </c>
    </row>
    <row r="19" customFormat="false" ht="15" hidden="false" customHeight="false" outlineLevel="0" collapsed="false">
      <c r="A19" s="6" t="s">
        <v>95</v>
      </c>
      <c r="B19" s="6" t="s">
        <v>83</v>
      </c>
      <c r="C19" s="16" t="n">
        <v>507.59</v>
      </c>
      <c r="D19" s="16" t="n">
        <v>527.79</v>
      </c>
      <c r="E19" s="17" t="n">
        <v>96.17</v>
      </c>
      <c r="F19" s="18" t="n">
        <f aca="false">C19/D19*100</f>
        <v>96.1727202106899</v>
      </c>
      <c r="G19" s="18" t="n">
        <f aca="false">F19-E19</f>
        <v>0.0027202106898585</v>
      </c>
    </row>
    <row r="20" customFormat="false" ht="15" hidden="false" customHeight="false" outlineLevel="0" collapsed="false">
      <c r="A20" s="6" t="s">
        <v>96</v>
      </c>
      <c r="B20" s="6" t="s">
        <v>81</v>
      </c>
      <c r="C20" s="16" t="n">
        <v>185.08</v>
      </c>
      <c r="D20" s="16" t="n">
        <v>219.79</v>
      </c>
      <c r="E20" s="17" t="n">
        <v>84.21</v>
      </c>
      <c r="F20" s="18" t="n">
        <f aca="false">C20/D20*100</f>
        <v>84.2076527594522</v>
      </c>
      <c r="G20" s="18" t="n">
        <f aca="false">F20-E20</f>
        <v>-0.00234724054777757</v>
      </c>
    </row>
    <row r="21" customFormat="false" ht="15" hidden="false" customHeight="false" outlineLevel="0" collapsed="false">
      <c r="A21" s="6" t="s">
        <v>96</v>
      </c>
      <c r="B21" s="6" t="s">
        <v>82</v>
      </c>
      <c r="C21" s="16" t="n">
        <v>173.71</v>
      </c>
      <c r="D21" s="16" t="n">
        <v>183.74</v>
      </c>
      <c r="E21" s="17" t="n">
        <v>94.54</v>
      </c>
      <c r="F21" s="18" t="n">
        <f aca="false">C21/D21*100</f>
        <v>94.5411995210624</v>
      </c>
      <c r="G21" s="18" t="n">
        <f aca="false">F21-E21</f>
        <v>0.00119952106236099</v>
      </c>
    </row>
    <row r="22" customFormat="false" ht="15" hidden="false" customHeight="false" outlineLevel="0" collapsed="false">
      <c r="A22" s="6" t="s">
        <v>96</v>
      </c>
      <c r="B22" s="6" t="s">
        <v>83</v>
      </c>
      <c r="C22" s="16" t="n">
        <v>162.76</v>
      </c>
      <c r="D22" s="16" t="n">
        <v>169.34</v>
      </c>
      <c r="E22" s="17" t="n">
        <v>96.11</v>
      </c>
      <c r="F22" s="18" t="n">
        <f aca="false">C22/D22*100</f>
        <v>96.1143262076296</v>
      </c>
      <c r="G22" s="18" t="n">
        <f aca="false">F22-E22</f>
        <v>0.00432620762961733</v>
      </c>
    </row>
    <row r="23" customFormat="false" ht="15" hidden="false" customHeight="false" outlineLevel="0" collapsed="false">
      <c r="A23" s="6" t="s">
        <v>97</v>
      </c>
      <c r="B23" s="6" t="s">
        <v>81</v>
      </c>
      <c r="C23" s="16" t="n">
        <v>183.5</v>
      </c>
      <c r="D23" s="16" t="n">
        <v>250.02</v>
      </c>
      <c r="E23" s="17" t="n">
        <v>73.39</v>
      </c>
      <c r="F23" s="18" t="n">
        <f aca="false">C23/D23*100</f>
        <v>73.3941284697224</v>
      </c>
      <c r="G23" s="18" t="n">
        <f aca="false">F23-E23</f>
        <v>0.00412846972241709</v>
      </c>
    </row>
    <row r="24" customFormat="false" ht="15" hidden="false" customHeight="false" outlineLevel="0" collapsed="false">
      <c r="A24" s="6" t="s">
        <v>97</v>
      </c>
      <c r="B24" s="6" t="s">
        <v>82</v>
      </c>
      <c r="C24" s="16" t="n">
        <v>174.53</v>
      </c>
      <c r="D24" s="16" t="n">
        <v>207.77</v>
      </c>
      <c r="E24" s="17" t="n">
        <v>84</v>
      </c>
      <c r="F24" s="18" t="n">
        <f aca="false">C24/D24*100</f>
        <v>84.0015401646051</v>
      </c>
      <c r="G24" s="18" t="n">
        <f aca="false">F24-E24</f>
        <v>0.00154016460508899</v>
      </c>
    </row>
    <row r="25" customFormat="false" ht="15" hidden="false" customHeight="false" outlineLevel="0" collapsed="false">
      <c r="A25" s="6" t="s">
        <v>97</v>
      </c>
      <c r="B25" s="6" t="s">
        <v>83</v>
      </c>
      <c r="C25" s="16" t="n">
        <v>173.01</v>
      </c>
      <c r="D25" s="16" t="n">
        <v>188.18</v>
      </c>
      <c r="E25" s="17" t="n">
        <v>91.94</v>
      </c>
      <c r="F25" s="18" t="n">
        <f aca="false">C25/D25*100</f>
        <v>91.9385694547773</v>
      </c>
      <c r="G25" s="18" t="n">
        <f aca="false">F25-E25</f>
        <v>-0.00143054522266084</v>
      </c>
    </row>
    <row r="26" customFormat="false" ht="15" hidden="false" customHeight="false" outlineLevel="0" collapsed="false">
      <c r="A26" s="6" t="s">
        <v>98</v>
      </c>
      <c r="B26" s="6" t="s">
        <v>81</v>
      </c>
      <c r="C26" s="16" t="n">
        <v>199.89</v>
      </c>
      <c r="D26" s="16" t="n">
        <v>258.29</v>
      </c>
      <c r="E26" s="17" t="n">
        <v>77.39</v>
      </c>
      <c r="F26" s="18" t="n">
        <f aca="false">C26/D26*100</f>
        <v>77.3897557009563</v>
      </c>
      <c r="G26" s="18" t="n">
        <f aca="false">F26-E26</f>
        <v>-0.000244299043728802</v>
      </c>
    </row>
    <row r="27" customFormat="false" ht="15" hidden="false" customHeight="false" outlineLevel="0" collapsed="false">
      <c r="A27" s="6" t="s">
        <v>98</v>
      </c>
      <c r="B27" s="6" t="s">
        <v>82</v>
      </c>
      <c r="C27" s="16" t="n">
        <v>168.95</v>
      </c>
      <c r="D27" s="16" t="n">
        <v>188.28</v>
      </c>
      <c r="E27" s="17" t="n">
        <v>89.73</v>
      </c>
      <c r="F27" s="18" t="n">
        <f aca="false">C27/D27*100</f>
        <v>89.733375823242</v>
      </c>
      <c r="G27" s="18" t="n">
        <f aca="false">F27-E27</f>
        <v>0.00337582324198138</v>
      </c>
    </row>
    <row r="28" customFormat="false" ht="15" hidden="false" customHeight="false" outlineLevel="0" collapsed="false">
      <c r="A28" s="6" t="s">
        <v>98</v>
      </c>
      <c r="B28" s="6" t="s">
        <v>83</v>
      </c>
      <c r="C28" s="16" t="n">
        <v>198.5</v>
      </c>
      <c r="D28" s="16" t="n">
        <v>203.72</v>
      </c>
      <c r="E28" s="17" t="n">
        <v>97.44</v>
      </c>
      <c r="F28" s="18" t="n">
        <f aca="false">C28/D28*100</f>
        <v>97.4376595326919</v>
      </c>
      <c r="G28" s="18" t="n">
        <f aca="false">F28-E28</f>
        <v>-0.00234046730805915</v>
      </c>
    </row>
    <row r="29" customFormat="false" ht="15" hidden="false" customHeight="false" outlineLevel="0" collapsed="false">
      <c r="A29" s="6" t="s">
        <v>99</v>
      </c>
      <c r="B29" s="6" t="s">
        <v>81</v>
      </c>
      <c r="C29" s="16" t="n">
        <v>284.12</v>
      </c>
      <c r="D29" s="16" t="n">
        <v>291.04</v>
      </c>
      <c r="E29" s="17" t="n">
        <v>97.62</v>
      </c>
      <c r="F29" s="18" t="n">
        <f aca="false">C29/D29*100</f>
        <v>97.6223199560198</v>
      </c>
      <c r="G29" s="18" t="n">
        <f aca="false">F29-E29</f>
        <v>0.00231995601978952</v>
      </c>
    </row>
    <row r="30" customFormat="false" ht="15" hidden="false" customHeight="false" outlineLevel="0" collapsed="false">
      <c r="A30" s="6" t="s">
        <v>99</v>
      </c>
      <c r="B30" s="6" t="s">
        <v>82</v>
      </c>
      <c r="C30" s="16" t="n">
        <v>256.43</v>
      </c>
      <c r="D30" s="16" t="n">
        <v>257.7</v>
      </c>
      <c r="E30" s="17" t="n">
        <v>99.51</v>
      </c>
      <c r="F30" s="18" t="n">
        <f aca="false">C30/D30*100</f>
        <v>99.5071788901824</v>
      </c>
      <c r="G30" s="18" t="n">
        <f aca="false">F30-E30</f>
        <v>-0.00282110981761718</v>
      </c>
    </row>
    <row r="31" customFormat="false" ht="15" hidden="false" customHeight="false" outlineLevel="0" collapsed="false">
      <c r="A31" s="6" t="s">
        <v>99</v>
      </c>
      <c r="B31" s="6" t="s">
        <v>83</v>
      </c>
      <c r="C31" s="16" t="n">
        <v>247.42</v>
      </c>
      <c r="D31" s="16" t="n">
        <v>252.92</v>
      </c>
      <c r="E31" s="17" t="n">
        <v>97.82</v>
      </c>
      <c r="F31" s="18" t="n">
        <f aca="false">C31/D31*100</f>
        <v>97.8253993357584</v>
      </c>
      <c r="G31" s="18" t="n">
        <f aca="false">F31-E31</f>
        <v>0.00539933575835505</v>
      </c>
    </row>
    <row r="32" customFormat="false" ht="15" hidden="false" customHeight="false" outlineLevel="0" collapsed="false">
      <c r="A32" s="6" t="s">
        <v>100</v>
      </c>
      <c r="B32" s="6" t="s">
        <v>81</v>
      </c>
      <c r="C32" s="16" t="n">
        <v>76.72</v>
      </c>
      <c r="D32" s="16" t="n">
        <v>109</v>
      </c>
      <c r="E32" s="17" t="n">
        <v>70.38</v>
      </c>
      <c r="F32" s="18" t="n">
        <f aca="false">C32/D32*100</f>
        <v>70.3853211009174</v>
      </c>
      <c r="G32" s="18" t="n">
        <f aca="false">F32-E32</f>
        <v>0.00532110091744187</v>
      </c>
    </row>
    <row r="33" customFormat="false" ht="15" hidden="false" customHeight="false" outlineLevel="0" collapsed="false">
      <c r="A33" s="6" t="s">
        <v>100</v>
      </c>
      <c r="B33" s="6" t="s">
        <v>82</v>
      </c>
      <c r="C33" s="16" t="n">
        <v>79.06</v>
      </c>
      <c r="D33" s="16" t="n">
        <v>94.25</v>
      </c>
      <c r="E33" s="17" t="n">
        <v>83.88</v>
      </c>
      <c r="F33" s="18" t="n">
        <f aca="false">C33/D33*100</f>
        <v>83.8832891246684</v>
      </c>
      <c r="G33" s="18" t="n">
        <f aca="false">F33-E33</f>
        <v>0.00328912466844145</v>
      </c>
    </row>
    <row r="34" customFormat="false" ht="15" hidden="false" customHeight="false" outlineLevel="0" collapsed="false">
      <c r="A34" s="6" t="s">
        <v>100</v>
      </c>
      <c r="B34" s="6" t="s">
        <v>83</v>
      </c>
      <c r="C34" s="16" t="n">
        <v>70.7</v>
      </c>
      <c r="D34" s="16" t="n">
        <v>77.3</v>
      </c>
      <c r="E34" s="17" t="n">
        <v>91.47</v>
      </c>
      <c r="F34" s="18" t="n">
        <f aca="false">C34/D34*100</f>
        <v>91.4618369987064</v>
      </c>
      <c r="G34" s="18" t="n">
        <f aca="false">F34-E34</f>
        <v>-0.00816300129365288</v>
      </c>
    </row>
  </sheetData>
  <autoFilter ref="A1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11" min="6" style="0" width="16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42" hidden="false" customHeight="true" outlineLevel="0" collapsed="false">
      <c r="A1" s="5" t="s">
        <v>74</v>
      </c>
      <c r="B1" s="5" t="s">
        <v>101</v>
      </c>
      <c r="C1" s="5" t="s">
        <v>102</v>
      </c>
      <c r="D1" s="5" t="s">
        <v>103</v>
      </c>
      <c r="E1" s="5" t="s">
        <v>76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</row>
    <row r="2" customFormat="false" ht="15" hidden="false" customHeight="false" outlineLevel="0" collapsed="false">
      <c r="A2" s="6" t="s">
        <v>81</v>
      </c>
      <c r="B2" s="20" t="n">
        <v>92</v>
      </c>
      <c r="C2" s="7" t="n">
        <v>13625</v>
      </c>
      <c r="D2" s="16" t="n">
        <v>5400.38</v>
      </c>
      <c r="E2" s="17" t="n">
        <v>39.64</v>
      </c>
      <c r="F2" s="16" t="n">
        <v>4452.71</v>
      </c>
      <c r="G2" s="16" t="n">
        <v>9831.58</v>
      </c>
      <c r="H2" s="16" t="n">
        <v>3619.21</v>
      </c>
      <c r="I2" s="16" t="n">
        <v>3926.15</v>
      </c>
      <c r="J2" s="16" t="s">
        <v>112</v>
      </c>
      <c r="K2" s="21" t="n">
        <f aca="false">F2*24*B2/1000</f>
        <v>9831.58368</v>
      </c>
      <c r="L2" s="21" t="n">
        <f aca="false">F2-H2</f>
        <v>833.5</v>
      </c>
      <c r="M2" s="19" t="n">
        <f aca="false">H2/F2*100</f>
        <v>81.2810625439339</v>
      </c>
    </row>
    <row r="3" customFormat="false" ht="15" hidden="false" customHeight="false" outlineLevel="0" collapsed="false">
      <c r="A3" s="6" t="s">
        <v>82</v>
      </c>
      <c r="B3" s="20" t="n">
        <v>90</v>
      </c>
      <c r="C3" s="7" t="n">
        <v>13625</v>
      </c>
      <c r="D3" s="16" t="n">
        <v>4457.96</v>
      </c>
      <c r="E3" s="17" t="n">
        <v>32.72</v>
      </c>
      <c r="F3" s="16" t="n">
        <v>4112.72</v>
      </c>
      <c r="G3" s="16" t="n">
        <v>8883.47</v>
      </c>
      <c r="H3" s="16" t="n">
        <v>3309.48</v>
      </c>
      <c r="I3" s="16" t="n">
        <v>3408.02</v>
      </c>
      <c r="J3" s="16" t="n">
        <v>7148.47</v>
      </c>
      <c r="K3" s="21" t="n">
        <f aca="false">F3*24*B3/1000</f>
        <v>8883.4752</v>
      </c>
      <c r="L3" s="21" t="n">
        <f aca="false">F3-H3</f>
        <v>803.24</v>
      </c>
      <c r="M3" s="19" t="n">
        <f aca="false">H3/F3*100</f>
        <v>80.4693730669727</v>
      </c>
    </row>
    <row r="4" customFormat="false" ht="15" hidden="false" customHeight="false" outlineLevel="0" collapsed="false">
      <c r="A4" s="6" t="s">
        <v>83</v>
      </c>
      <c r="B4" s="20" t="n">
        <v>91</v>
      </c>
      <c r="C4" s="7" t="n">
        <v>13625</v>
      </c>
      <c r="D4" s="16" t="n">
        <v>4454.17</v>
      </c>
      <c r="E4" s="17" t="n">
        <v>32.69</v>
      </c>
      <c r="F4" s="16" t="n">
        <v>4022.4</v>
      </c>
      <c r="G4" s="16" t="n">
        <v>8784.93</v>
      </c>
      <c r="H4" s="16" t="n">
        <v>3197.03</v>
      </c>
      <c r="I4" s="16" t="n">
        <v>3398.41</v>
      </c>
      <c r="J4" s="16" t="n">
        <v>6982.32</v>
      </c>
      <c r="K4" s="21" t="n">
        <f aca="false">F4*24*B4/1000</f>
        <v>8784.9216</v>
      </c>
      <c r="L4" s="21" t="n">
        <f aca="false">F4-H4</f>
        <v>825.37</v>
      </c>
      <c r="M4" s="19" t="n">
        <f aca="false">H4/F4*100</f>
        <v>79.4806583134447</v>
      </c>
    </row>
    <row r="6" customFormat="false" ht="15" hidden="false" customHeight="false" outlineLevel="0" collapsed="false">
      <c r="A6" s="22" t="s">
        <v>113</v>
      </c>
    </row>
    <row r="7" customFormat="false" ht="15" hidden="false" customHeight="false" outlineLevel="0" collapsed="false">
      <c r="A7" s="23" t="s">
        <v>114</v>
      </c>
    </row>
    <row r="8" customFormat="false" ht="15" hidden="false" customHeight="false" outlineLevel="0" collapsed="false">
      <c r="A8" s="2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</cols>
  <sheetData>
    <row r="1" customFormat="false" ht="42" hidden="false" customHeight="true" outlineLevel="0" collapsed="false">
      <c r="A1" s="5" t="s">
        <v>116</v>
      </c>
      <c r="B1" s="5" t="s">
        <v>74</v>
      </c>
      <c r="C1" s="5" t="s">
        <v>117</v>
      </c>
      <c r="D1" s="5" t="s">
        <v>118</v>
      </c>
      <c r="E1" s="5" t="s">
        <v>80</v>
      </c>
    </row>
    <row r="2" customFormat="false" ht="15" hidden="false" customHeight="false" outlineLevel="0" collapsed="false">
      <c r="A2" s="6" t="s">
        <v>119</v>
      </c>
      <c r="B2" s="6" t="s">
        <v>81</v>
      </c>
      <c r="C2" s="7" t="n">
        <v>5506</v>
      </c>
      <c r="D2" s="7" t="n">
        <v>4290</v>
      </c>
      <c r="E2" s="19" t="n">
        <f aca="false">D2/C2*100</f>
        <v>77.9150018162005</v>
      </c>
    </row>
    <row r="3" customFormat="false" ht="15" hidden="false" customHeight="false" outlineLevel="0" collapsed="false">
      <c r="A3" s="6" t="s">
        <v>120</v>
      </c>
      <c r="B3" s="6" t="s">
        <v>81</v>
      </c>
      <c r="C3" s="7" t="n">
        <v>5544</v>
      </c>
      <c r="D3" s="7" t="n">
        <v>4701</v>
      </c>
      <c r="E3" s="19" t="n">
        <f aca="false">D3/C3*100</f>
        <v>84.7943722943723</v>
      </c>
    </row>
    <row r="4" customFormat="false" ht="15" hidden="false" customHeight="false" outlineLevel="0" collapsed="false">
      <c r="A4" s="6" t="s">
        <v>121</v>
      </c>
      <c r="B4" s="6" t="s">
        <v>81</v>
      </c>
      <c r="C4" s="7" t="n">
        <v>5151</v>
      </c>
      <c r="D4" s="7" t="n">
        <v>4367</v>
      </c>
      <c r="E4" s="19" t="n">
        <f aca="false">D4/C4*100</f>
        <v>84.7796544360318</v>
      </c>
    </row>
    <row r="5" customFormat="false" ht="15" hidden="false" customHeight="false" outlineLevel="0" collapsed="false">
      <c r="A5" s="6" t="s">
        <v>122</v>
      </c>
      <c r="B5" s="6" t="s">
        <v>82</v>
      </c>
      <c r="C5" s="7" t="n">
        <v>4901</v>
      </c>
      <c r="D5" s="7" t="n">
        <v>4421</v>
      </c>
      <c r="E5" s="19" t="n">
        <f aca="false">D5/C5*100</f>
        <v>90.2060803917568</v>
      </c>
    </row>
    <row r="6" customFormat="false" ht="15" hidden="false" customHeight="false" outlineLevel="0" collapsed="false">
      <c r="A6" s="6" t="s">
        <v>123</v>
      </c>
      <c r="B6" s="6" t="s">
        <v>82</v>
      </c>
      <c r="C6" s="7" t="n">
        <v>4384</v>
      </c>
      <c r="D6" s="7" t="n">
        <v>4102</v>
      </c>
      <c r="E6" s="19" t="n">
        <f aca="false">D6/C6*100</f>
        <v>93.5675182481752</v>
      </c>
    </row>
    <row r="7" customFormat="false" ht="15" hidden="false" customHeight="false" outlineLevel="0" collapsed="false">
      <c r="A7" s="6" t="s">
        <v>124</v>
      </c>
      <c r="B7" s="6" t="s">
        <v>82</v>
      </c>
      <c r="C7" s="7" t="n">
        <v>4089</v>
      </c>
      <c r="D7" s="7" t="n">
        <v>3815</v>
      </c>
      <c r="E7" s="19" t="n">
        <f aca="false">D7/C7*100</f>
        <v>93.2990951332844</v>
      </c>
    </row>
    <row r="8" customFormat="false" ht="15" hidden="false" customHeight="false" outlineLevel="0" collapsed="false">
      <c r="A8" s="6" t="s">
        <v>125</v>
      </c>
      <c r="B8" s="6" t="s">
        <v>83</v>
      </c>
      <c r="C8" s="7" t="n">
        <v>4286</v>
      </c>
      <c r="D8" s="7" t="n">
        <v>4048</v>
      </c>
      <c r="E8" s="19" t="n">
        <f aca="false">D8/C8*100</f>
        <v>94.4470368642091</v>
      </c>
    </row>
    <row r="9" customFormat="false" ht="15" hidden="false" customHeight="false" outlineLevel="0" collapsed="false">
      <c r="A9" s="6" t="s">
        <v>126</v>
      </c>
      <c r="B9" s="6" t="s">
        <v>83</v>
      </c>
      <c r="C9" s="7" t="n">
        <v>4587</v>
      </c>
      <c r="D9" s="7" t="n">
        <v>4128</v>
      </c>
      <c r="E9" s="19" t="n">
        <f aca="false">D9/C9*100</f>
        <v>89.9934597776324</v>
      </c>
    </row>
    <row r="10" customFormat="false" ht="15" hidden="false" customHeight="false" outlineLevel="0" collapsed="false">
      <c r="A10" s="6" t="s">
        <v>127</v>
      </c>
      <c r="B10" s="6" t="s">
        <v>83</v>
      </c>
      <c r="C10" s="7" t="n">
        <v>4489</v>
      </c>
      <c r="D10" s="7" t="n">
        <v>3892</v>
      </c>
      <c r="E10" s="19" t="n">
        <f aca="false">D10/C10*100</f>
        <v>86.7008242370238</v>
      </c>
    </row>
    <row r="12" customFormat="false" ht="15" hidden="false" customHeight="false" outlineLevel="0" collapsed="false">
      <c r="A12" s="23" t="s">
        <v>128</v>
      </c>
    </row>
    <row r="13" customFormat="false" ht="15" hidden="false" customHeight="false" outlineLevel="0" collapsed="false">
      <c r="A13" s="22" t="s">
        <v>129</v>
      </c>
    </row>
    <row r="14" customFormat="false" ht="15" hidden="false" customHeight="false" outlineLevel="0" collapsed="false">
      <c r="A14" s="24" t="s">
        <v>81</v>
      </c>
      <c r="C14" s="25" t="n">
        <f aca="false">AVERAGEIFS($C$2:$C$10,$B$2:$B$10,A14)</f>
        <v>5400.33333333333</v>
      </c>
      <c r="D14" s="25" t="n">
        <f aca="false">AVERAGEIFS($D$2:$D$10,$B$2:$B$10,A14)</f>
        <v>4452.66666666667</v>
      </c>
    </row>
    <row r="15" customFormat="false" ht="15" hidden="false" customHeight="false" outlineLevel="0" collapsed="false">
      <c r="A15" s="24" t="s">
        <v>82</v>
      </c>
      <c r="C15" s="25" t="n">
        <f aca="false">AVERAGEIFS($C$2:$C$10,$B$2:$B$10,A15)</f>
        <v>4458</v>
      </c>
      <c r="D15" s="25" t="n">
        <f aca="false">AVERAGEIFS($D$2:$D$10,$B$2:$B$10,A15)</f>
        <v>4112.66666666667</v>
      </c>
    </row>
    <row r="16" customFormat="false" ht="15" hidden="false" customHeight="false" outlineLevel="0" collapsed="false">
      <c r="A16" s="24" t="s">
        <v>83</v>
      </c>
      <c r="C16" s="25" t="n">
        <f aca="false">AVERAGEIFS($C$2:$C$10,$B$2:$B$10,A16)</f>
        <v>4454</v>
      </c>
      <c r="D16" s="25" t="n">
        <f aca="false">AVERAGEIFS($D$2:$D$10,$B$2:$B$10,A16)</f>
        <v>4022.66666666667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5" min="4" style="0" width="18"/>
    <col collapsed="false" customWidth="true" hidden="false" outlineLevel="0" max="6" min="6" style="0" width="70"/>
    <col collapsed="false" customWidth="true" hidden="false" outlineLevel="0" max="7" min="7" style="0" width="36"/>
  </cols>
  <sheetData>
    <row r="1" customFormat="false" ht="42" hidden="false" customHeight="true" outlineLevel="0" collapsed="false">
      <c r="A1" s="5" t="s">
        <v>130</v>
      </c>
      <c r="B1" s="5" t="s">
        <v>74</v>
      </c>
      <c r="C1" s="5" t="s">
        <v>37</v>
      </c>
      <c r="D1" s="5" t="s">
        <v>131</v>
      </c>
      <c r="E1" s="5" t="s">
        <v>132</v>
      </c>
      <c r="F1" s="5" t="s">
        <v>133</v>
      </c>
      <c r="G1" s="5" t="s">
        <v>134</v>
      </c>
    </row>
    <row r="2" customFormat="false" ht="23.85" hidden="false" customHeight="false" outlineLevel="0" collapsed="false">
      <c r="A2" s="26" t="n">
        <v>45910</v>
      </c>
      <c r="B2" s="6" t="s">
        <v>135</v>
      </c>
      <c r="C2" s="6" t="s">
        <v>136</v>
      </c>
      <c r="D2" s="6" t="s">
        <v>137</v>
      </c>
      <c r="E2" s="6" t="s">
        <v>138</v>
      </c>
      <c r="F2" s="27" t="s">
        <v>139</v>
      </c>
      <c r="G2" s="27" t="s">
        <v>140</v>
      </c>
    </row>
    <row r="3" customFormat="false" ht="23.85" hidden="false" customHeight="false" outlineLevel="0" collapsed="false">
      <c r="A3" s="26" t="n">
        <v>46020</v>
      </c>
      <c r="B3" s="6" t="s">
        <v>81</v>
      </c>
      <c r="C3" s="6" t="s">
        <v>141</v>
      </c>
      <c r="D3" s="6" t="s">
        <v>142</v>
      </c>
      <c r="E3" s="6" t="s">
        <v>143</v>
      </c>
      <c r="F3" s="27" t="s">
        <v>144</v>
      </c>
      <c r="G3" s="27" t="s">
        <v>140</v>
      </c>
    </row>
    <row r="4" customFormat="false" ht="23.85" hidden="false" customHeight="false" outlineLevel="0" collapsed="false">
      <c r="A4" s="26" t="n">
        <v>46045</v>
      </c>
      <c r="B4" s="6" t="s">
        <v>82</v>
      </c>
      <c r="C4" s="6" t="s">
        <v>73</v>
      </c>
      <c r="D4" s="6" t="s">
        <v>145</v>
      </c>
      <c r="E4" s="6" t="s">
        <v>146</v>
      </c>
      <c r="F4" s="27" t="s">
        <v>147</v>
      </c>
      <c r="G4" s="27" t="s">
        <v>148</v>
      </c>
    </row>
    <row r="5" customFormat="false" ht="15" hidden="false" customHeight="false" outlineLevel="0" collapsed="false">
      <c r="A5" s="26" t="n">
        <v>46049</v>
      </c>
      <c r="B5" s="6" t="s">
        <v>82</v>
      </c>
      <c r="C5" s="6" t="s">
        <v>141</v>
      </c>
      <c r="D5" s="6" t="s">
        <v>149</v>
      </c>
      <c r="E5" s="6" t="s">
        <v>146</v>
      </c>
      <c r="F5" s="27" t="s">
        <v>150</v>
      </c>
      <c r="G5" s="27" t="s">
        <v>148</v>
      </c>
    </row>
    <row r="6" customFormat="false" ht="15" hidden="false" customHeight="false" outlineLevel="0" collapsed="false">
      <c r="A6" s="6" t="s">
        <v>151</v>
      </c>
      <c r="B6" s="6" t="s">
        <v>83</v>
      </c>
      <c r="C6" s="6" t="s">
        <v>151</v>
      </c>
      <c r="D6" s="6" t="s">
        <v>112</v>
      </c>
      <c r="E6" s="6" t="s">
        <v>112</v>
      </c>
      <c r="F6" s="27" t="s">
        <v>152</v>
      </c>
      <c r="G6" s="27" t="s">
        <v>153</v>
      </c>
    </row>
    <row r="8" customFormat="false" ht="15" hidden="false" customHeight="false" outlineLevel="0" collapsed="false">
      <c r="A8" s="23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2" t="s">
        <v>156</v>
      </c>
      <c r="B2" s="28" t="n">
        <v>0.02</v>
      </c>
      <c r="C2" s="23" t="s">
        <v>157</v>
      </c>
    </row>
    <row r="3" customFormat="false" ht="15" hidden="false" customHeight="false" outlineLevel="0" collapsed="false">
      <c r="A3" s="22" t="s">
        <v>158</v>
      </c>
      <c r="B3" s="28" t="n">
        <v>0.05</v>
      </c>
      <c r="C3" s="23" t="s">
        <v>159</v>
      </c>
    </row>
    <row r="4" customFormat="false" ht="42" hidden="false" customHeight="true" outlineLevel="0" collapsed="false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</row>
    <row r="5" customFormat="false" ht="15" hidden="false" customHeight="false" outlineLevel="0" collapsed="false">
      <c r="A5" s="24" t="s">
        <v>165</v>
      </c>
      <c r="B5" s="9" t="n">
        <f aca="false">Plants!B30</f>
        <v>13625</v>
      </c>
      <c r="C5" s="9" t="n">
        <f aca="false">National_Quarter!C3</f>
        <v>13625</v>
      </c>
      <c r="D5" s="29" t="n">
        <f aca="false">ABS(B5-C5)</f>
        <v>0</v>
      </c>
      <c r="E5" s="11" t="str">
        <f aca="false">IF(D5&lt;=$B$2,"PASS","FAIL")</f>
        <v>PASS</v>
      </c>
    </row>
    <row r="6" customFormat="false" ht="15" hidden="false" customHeight="false" outlineLevel="0" collapsed="false">
      <c r="A6" s="24" t="s">
        <v>166</v>
      </c>
      <c r="B6" s="9" t="n">
        <f aca="false">SUMIFS(Plant_Quarter!$E$2:$E$85,Plant_Quarter!$B$2:$B$85,"2025/Q4")</f>
        <v>5400.38</v>
      </c>
      <c r="C6" s="9" t="n">
        <f aca="false">National_Quarter!D2</f>
        <v>5400.38</v>
      </c>
      <c r="D6" s="29" t="n">
        <f aca="false">ABS(B6-C6)</f>
        <v>0</v>
      </c>
      <c r="E6" s="11" t="str">
        <f aca="false">IF(D6&lt;=$B$2,"PASS","FAIL")</f>
        <v>PASS</v>
      </c>
    </row>
    <row r="7" customFormat="false" ht="15" hidden="false" customHeight="false" outlineLevel="0" collapsed="false">
      <c r="A7" s="24" t="s">
        <v>167</v>
      </c>
      <c r="B7" s="9" t="n">
        <f aca="false">SUMIFS(Plant_Quarter!$E$2:$E$85,Plant_Quarter!$B$2:$B$85,"2026/Q1")</f>
        <v>4457.95</v>
      </c>
      <c r="C7" s="9" t="n">
        <f aca="false">National_Quarter!D3</f>
        <v>4457.96</v>
      </c>
      <c r="D7" s="29" t="n">
        <f aca="false">ABS(B7-C7)</f>
        <v>0.0100000000002183</v>
      </c>
      <c r="E7" s="11" t="str">
        <f aca="false">IF(D7&lt;=$B$2,"PASS","FAIL")</f>
        <v>PASS</v>
      </c>
    </row>
    <row r="8" customFormat="false" ht="15" hidden="false" customHeight="false" outlineLevel="0" collapsed="false">
      <c r="A8" s="24" t="s">
        <v>168</v>
      </c>
      <c r="B8" s="9" t="n">
        <f aca="false">SUMIFS(Plant_Quarter!$E$2:$E$85,Plant_Quarter!$B$2:$B$85,"2026/Q2")</f>
        <v>4454.17</v>
      </c>
      <c r="C8" s="9" t="n">
        <f aca="false">National_Quarter!D4</f>
        <v>4454.17</v>
      </c>
      <c r="D8" s="29" t="n">
        <f aca="false">ABS(B8-C8)</f>
        <v>0</v>
      </c>
      <c r="E8" s="11" t="str">
        <f aca="false">IF(D8&lt;=$B$2,"PASS","FAIL")</f>
        <v>PASS</v>
      </c>
    </row>
    <row r="9" customFormat="false" ht="15" hidden="false" customHeight="false" outlineLevel="0" collapsed="false">
      <c r="A9" s="24" t="s">
        <v>169</v>
      </c>
      <c r="B9" s="9" t="n">
        <f aca="false">SUMIFS(Plant_Quarter!$G$2:$G$85,Plant_Quarter!$B$2:$B$85,"2025/Q4")</f>
        <v>4452.7</v>
      </c>
      <c r="C9" s="9" t="n">
        <f aca="false">National_Quarter!F2</f>
        <v>4452.71</v>
      </c>
      <c r="D9" s="29" t="n">
        <f aca="false">ABS(B9-C9)</f>
        <v>0.0100000000002183</v>
      </c>
      <c r="E9" s="11" t="str">
        <f aca="false">IF(D9&lt;=$B$2,"PASS","FAIL")</f>
        <v>PASS</v>
      </c>
    </row>
    <row r="10" customFormat="false" ht="15" hidden="false" customHeight="false" outlineLevel="0" collapsed="false">
      <c r="A10" s="24" t="s">
        <v>170</v>
      </c>
      <c r="B10" s="9" t="n">
        <f aca="false">SUMIFS(Plant_Quarter!$G$2:$G$85,Plant_Quarter!$B$2:$B$85,"2026/Q1")</f>
        <v>4112.73</v>
      </c>
      <c r="C10" s="9" t="n">
        <f aca="false">National_Quarter!F3</f>
        <v>4112.72</v>
      </c>
      <c r="D10" s="29" t="n">
        <f aca="false">ABS(B10-C10)</f>
        <v>0.00999999999930878</v>
      </c>
      <c r="E10" s="11" t="str">
        <f aca="false">IF(D10&lt;=$B$2,"PASS","FAIL")</f>
        <v>PASS</v>
      </c>
    </row>
    <row r="11" customFormat="false" ht="15" hidden="false" customHeight="false" outlineLevel="0" collapsed="false">
      <c r="A11" s="24" t="s">
        <v>171</v>
      </c>
      <c r="B11" s="9" t="n">
        <f aca="false">SUMIFS(Plant_Quarter!$G$2:$G$85,Plant_Quarter!$B$2:$B$85,"2026/Q2")</f>
        <v>4022.41</v>
      </c>
      <c r="C11" s="9" t="n">
        <f aca="false">National_Quarter!F4</f>
        <v>4022.4</v>
      </c>
      <c r="D11" s="29" t="n">
        <f aca="false">ABS(B11-C11)</f>
        <v>0.00999999999976353</v>
      </c>
      <c r="E11" s="11" t="str">
        <f aca="false">IF(D11&lt;=$B$2,"PASS","FAIL")</f>
        <v>PASS</v>
      </c>
    </row>
    <row r="12" customFormat="false" ht="15" hidden="false" customHeight="false" outlineLevel="0" collapsed="false">
      <c r="A12" s="24" t="s">
        <v>172</v>
      </c>
      <c r="B12" s="9" t="n">
        <f aca="false">SUMIFS(Plant_Quarter!$E$2:$E$85,Plant_Quarter!$B$2:$B$85,"2025/Q4")/Plants!B30*100</f>
        <v>39.6358165137615</v>
      </c>
      <c r="C12" s="9" t="n">
        <f aca="false">National_Quarter!E2</f>
        <v>39.64</v>
      </c>
      <c r="D12" s="29" t="n">
        <f aca="false">ABS(B12-C12)</f>
        <v>0.00418348623853149</v>
      </c>
      <c r="E12" s="11" t="str">
        <f aca="false">IF(D12&lt;=$B$2,"PASS","FAIL")</f>
        <v>PASS</v>
      </c>
    </row>
    <row r="13" customFormat="false" ht="15" hidden="false" customHeight="false" outlineLevel="0" collapsed="false">
      <c r="A13" s="24" t="s">
        <v>173</v>
      </c>
      <c r="B13" s="9" t="n">
        <f aca="false">SUMIFS(Plant_Quarter!$E$2:$E$85,Plant_Quarter!$B$2:$B$85,"2026/Q1")/Plants!B30*100</f>
        <v>32.7188990825688</v>
      </c>
      <c r="C13" s="9" t="n">
        <f aca="false">National_Quarter!E3</f>
        <v>32.72</v>
      </c>
      <c r="D13" s="29" t="n">
        <f aca="false">ABS(B13-C13)</f>
        <v>0.00110091743118801</v>
      </c>
      <c r="E13" s="11" t="str">
        <f aca="false">IF(D13&lt;=$B$2,"PASS","FAIL")</f>
        <v>PASS</v>
      </c>
    </row>
    <row r="14" customFormat="false" ht="15" hidden="false" customHeight="false" outlineLevel="0" collapsed="false">
      <c r="A14" s="24" t="s">
        <v>174</v>
      </c>
      <c r="B14" s="9" t="n">
        <f aca="false">SUMIFS(Plant_Quarter!$E$2:$E$85,Plant_Quarter!$B$2:$B$85,"2026/Q2")/Plants!B30*100</f>
        <v>32.6911559633028</v>
      </c>
      <c r="C14" s="9" t="n">
        <f aca="false">National_Quarter!E4</f>
        <v>32.69</v>
      </c>
      <c r="D14" s="29" t="n">
        <f aca="false">ABS(B14-C14)</f>
        <v>0.00115596330275736</v>
      </c>
      <c r="E14" s="11" t="str">
        <f aca="false">IF(D14&lt;=$B$2,"PASS","FAIL")</f>
        <v>PASS</v>
      </c>
    </row>
    <row r="15" customFormat="false" ht="15" hidden="false" customHeight="false" outlineLevel="0" collapsed="false">
      <c r="A15" s="24" t="s">
        <v>175</v>
      </c>
      <c r="B15" s="9" t="n">
        <f aca="false">National_Quarter!K2</f>
        <v>9831.58368</v>
      </c>
      <c r="C15" s="9" t="n">
        <f aca="false">National_Quarter!G2</f>
        <v>9831.58</v>
      </c>
      <c r="D15" s="29" t="n">
        <f aca="false">ABS(B15-C15)</f>
        <v>0.00368000000162283</v>
      </c>
      <c r="E15" s="11" t="str">
        <f aca="false">IF(D15&lt;=$B$2,"PASS","FAIL")</f>
        <v>PASS</v>
      </c>
    </row>
    <row r="16" customFormat="false" ht="15" hidden="false" customHeight="false" outlineLevel="0" collapsed="false">
      <c r="A16" s="24" t="s">
        <v>176</v>
      </c>
      <c r="B16" s="9" t="n">
        <f aca="false">National_Quarter!K3</f>
        <v>8883.4752</v>
      </c>
      <c r="C16" s="9" t="n">
        <f aca="false">National_Quarter!G3</f>
        <v>8883.47</v>
      </c>
      <c r="D16" s="29" t="n">
        <f aca="false">ABS(B16-C16)</f>
        <v>0.00519999999960419</v>
      </c>
      <c r="E16" s="11" t="str">
        <f aca="false">IF(D16&lt;=$B$2,"PASS","FAIL")</f>
        <v>PASS</v>
      </c>
    </row>
    <row r="17" customFormat="false" ht="15" hidden="false" customHeight="false" outlineLevel="0" collapsed="false">
      <c r="A17" s="24" t="s">
        <v>177</v>
      </c>
      <c r="B17" s="9" t="n">
        <f aca="false">National_Quarter!K4</f>
        <v>8784.9216</v>
      </c>
      <c r="C17" s="9" t="n">
        <f aca="false">National_Quarter!G4</f>
        <v>8784.93</v>
      </c>
      <c r="D17" s="29" t="n">
        <f aca="false">ABS(B17-C17)</f>
        <v>0.00840000000061991</v>
      </c>
      <c r="E17" s="11" t="str">
        <f aca="false">IF(D17&lt;=$B$2,"PASS","FAIL")</f>
        <v>PASS</v>
      </c>
    </row>
    <row r="18" customFormat="false" ht="15" hidden="false" customHeight="false" outlineLevel="0" collapsed="false">
      <c r="A18" s="24" t="s">
        <v>178</v>
      </c>
      <c r="B18" s="9" t="n">
        <f aca="false">SUMIFS(DisCo_Quarter!$C$2:$C$34,DisCo_Quarter!$B$2:$B$34,"2025/Q4")</f>
        <v>3619.21</v>
      </c>
      <c r="C18" s="9" t="n">
        <f aca="false">National_Quarter!H2</f>
        <v>3619.21</v>
      </c>
      <c r="D18" s="29" t="n">
        <f aca="false">ABS(B18-C18)</f>
        <v>0</v>
      </c>
      <c r="E18" s="11" t="str">
        <f aca="false">IF(D18&lt;=$B$2,"PASS","FAIL")</f>
        <v>PASS</v>
      </c>
    </row>
    <row r="19" customFormat="false" ht="15" hidden="false" customHeight="false" outlineLevel="0" collapsed="false">
      <c r="A19" s="24" t="s">
        <v>179</v>
      </c>
      <c r="B19" s="9" t="n">
        <f aca="false">SUMIFS(DisCo_Quarter!$C$2:$C$34,DisCo_Quarter!$B$2:$B$34,"2026/Q1")</f>
        <v>3309.48</v>
      </c>
      <c r="C19" s="9" t="n">
        <f aca="false">National_Quarter!H3</f>
        <v>3309.48</v>
      </c>
      <c r="D19" s="29" t="n">
        <f aca="false">ABS(B19-C19)</f>
        <v>0</v>
      </c>
      <c r="E19" s="11" t="str">
        <f aca="false">IF(D19&lt;=$B$2,"PASS","FAIL")</f>
        <v>PASS</v>
      </c>
    </row>
    <row r="20" customFormat="false" ht="15" hidden="false" customHeight="false" outlineLevel="0" collapsed="false">
      <c r="A20" s="24" t="s">
        <v>180</v>
      </c>
      <c r="B20" s="9" t="n">
        <f aca="false">SUMIFS(DisCo_Quarter!$C$2:$C$34,DisCo_Quarter!$B$2:$B$34,"2026/Q2")</f>
        <v>3197.05</v>
      </c>
      <c r="C20" s="9" t="n">
        <f aca="false">National_Quarter!H4</f>
        <v>3197.03</v>
      </c>
      <c r="D20" s="29" t="n">
        <f aca="false">ABS(B20-C20)</f>
        <v>0.0199999999995271</v>
      </c>
      <c r="E20" s="11" t="str">
        <f aca="false">IF(D20&lt;=$B$2,"PASS","FAIL")</f>
        <v>PASS</v>
      </c>
    </row>
    <row r="21" customFormat="false" ht="15" hidden="false" customHeight="false" outlineLevel="0" collapsed="false">
      <c r="A21" s="24" t="s">
        <v>181</v>
      </c>
      <c r="B21" s="9" t="n">
        <f aca="false">SUMIFS(DisCo_Quarter!$D$2:$D$34,DisCo_Quarter!$B$2:$B$34,"2025/Q4")</f>
        <v>3926.15</v>
      </c>
      <c r="C21" s="9" t="n">
        <f aca="false">National_Quarter!I2</f>
        <v>3926.15</v>
      </c>
      <c r="D21" s="29" t="n">
        <f aca="false">ABS(B21-C21)</f>
        <v>0</v>
      </c>
      <c r="E21" s="11" t="str">
        <f aca="false">IF(D21&lt;=$B$2,"PASS","FAIL")</f>
        <v>PASS</v>
      </c>
    </row>
    <row r="22" customFormat="false" ht="15" hidden="false" customHeight="false" outlineLevel="0" collapsed="false">
      <c r="A22" s="24" t="s">
        <v>182</v>
      </c>
      <c r="B22" s="9" t="n">
        <f aca="false">SUMIFS(DisCo_Quarter!$D$2:$D$34,DisCo_Quarter!$B$2:$B$34,"2026/Q1")</f>
        <v>3408.02</v>
      </c>
      <c r="C22" s="9" t="n">
        <f aca="false">National_Quarter!I3</f>
        <v>3408.02</v>
      </c>
      <c r="D22" s="29" t="n">
        <f aca="false">ABS(B22-C22)</f>
        <v>0</v>
      </c>
      <c r="E22" s="11" t="str">
        <f aca="false">IF(D22&lt;=$B$2,"PASS","FAIL")</f>
        <v>PASS</v>
      </c>
    </row>
    <row r="23" customFormat="false" ht="15" hidden="false" customHeight="false" outlineLevel="0" collapsed="false">
      <c r="A23" s="24" t="s">
        <v>183</v>
      </c>
      <c r="B23" s="9" t="n">
        <f aca="false">SUMIFS(DisCo_Quarter!$D$2:$D$34,DisCo_Quarter!$B$2:$B$34,"2026/Q2")</f>
        <v>3398.4</v>
      </c>
      <c r="C23" s="9" t="n">
        <f aca="false">National_Quarter!I4</f>
        <v>3398.41</v>
      </c>
      <c r="D23" s="29" t="n">
        <f aca="false">ABS(B23-C23)</f>
        <v>0.00999999999976353</v>
      </c>
      <c r="E23" s="11" t="str">
        <f aca="false">IF(D23&lt;=$B$2,"PASS","FAIL")</f>
        <v>PASS</v>
      </c>
    </row>
    <row r="24" customFormat="false" ht="15" hidden="false" customHeight="false" outlineLevel="0" collapsed="false">
      <c r="A24" s="24" t="s">
        <v>184</v>
      </c>
      <c r="B24" s="9" t="n">
        <f aca="false">National_Quarter!H3*24*National_Quarter!B3/1000</f>
        <v>7148.4768</v>
      </c>
      <c r="C24" s="9" t="n">
        <f aca="false">National_Quarter!J3</f>
        <v>7148.47</v>
      </c>
      <c r="D24" s="29" t="n">
        <f aca="false">ABS(B24-C24)</f>
        <v>0.00680000000011205</v>
      </c>
      <c r="E24" s="11" t="str">
        <f aca="false">IF(D24&lt;=$B$2,"PASS","FAIL")</f>
        <v>PASS</v>
      </c>
    </row>
    <row r="25" customFormat="false" ht="15" hidden="false" customHeight="false" outlineLevel="0" collapsed="false">
      <c r="A25" s="24" t="s">
        <v>185</v>
      </c>
      <c r="B25" s="9" t="n">
        <f aca="false">National_Quarter!H4*24*National_Quarter!B4/1000</f>
        <v>6982.31352</v>
      </c>
      <c r="C25" s="9" t="n">
        <f aca="false">National_Quarter!J4</f>
        <v>6982.32</v>
      </c>
      <c r="D25" s="29" t="n">
        <f aca="false">ABS(B25-C25)</f>
        <v>0.00647999999910098</v>
      </c>
      <c r="E25" s="11" t="str">
        <f aca="false">IF(D25&lt;=$B$2,"PASS","FAIL")</f>
        <v>PASS</v>
      </c>
    </row>
    <row r="26" customFormat="false" ht="15" hidden="false" customHeight="false" outlineLevel="0" collapsed="false">
      <c r="A26" s="24" t="s">
        <v>186</v>
      </c>
      <c r="B26" s="9" t="n">
        <f aca="false">COUNTIFS(Plant_Quarter!$B$2:$B$85,"2025/Q4")</f>
        <v>28</v>
      </c>
      <c r="C26" s="16" t="n">
        <v>28</v>
      </c>
      <c r="D26" s="29" t="n">
        <f aca="false">ABS(B26-C26)</f>
        <v>0</v>
      </c>
      <c r="E26" s="11" t="str">
        <f aca="false">IF(D26&lt;=$B$2,"PASS","FAIL")</f>
        <v>PASS</v>
      </c>
    </row>
    <row r="27" customFormat="false" ht="15" hidden="false" customHeight="false" outlineLevel="0" collapsed="false">
      <c r="A27" s="24" t="s">
        <v>187</v>
      </c>
      <c r="B27" s="9" t="n">
        <f aca="false">COUNTIFS(Plant_Quarter!$B$2:$B$85,"2026/Q1")</f>
        <v>28</v>
      </c>
      <c r="C27" s="16" t="n">
        <v>28</v>
      </c>
      <c r="D27" s="29" t="n">
        <f aca="false">ABS(B27-C27)</f>
        <v>0</v>
      </c>
      <c r="E27" s="11" t="str">
        <f aca="false">IF(D27&lt;=$B$2,"PASS","FAIL")</f>
        <v>PASS</v>
      </c>
    </row>
    <row r="28" customFormat="false" ht="15" hidden="false" customHeight="false" outlineLevel="0" collapsed="false">
      <c r="A28" s="24" t="s">
        <v>188</v>
      </c>
      <c r="B28" s="9" t="n">
        <f aca="false">COUNTIFS(Plant_Quarter!$B$2:$B$85,"2026/Q2")</f>
        <v>28</v>
      </c>
      <c r="C28" s="16" t="n">
        <v>28</v>
      </c>
      <c r="D28" s="29" t="n">
        <f aca="false">ABS(B28-C28)</f>
        <v>0</v>
      </c>
      <c r="E28" s="11" t="str">
        <f aca="false">IF(D28&lt;=$B$2,"PASS","FAIL")</f>
        <v>PASS</v>
      </c>
    </row>
    <row r="29" customFormat="false" ht="15" hidden="false" customHeight="false" outlineLevel="0" collapsed="false">
      <c r="A29" s="24" t="s">
        <v>189</v>
      </c>
      <c r="B29" s="9" t="n">
        <f aca="false">COUNTIFS(DisCo_Quarter!$B$2:$B$34,"2025/Q4")</f>
        <v>11</v>
      </c>
      <c r="C29" s="16" t="n">
        <v>11</v>
      </c>
      <c r="D29" s="29" t="n">
        <f aca="false">ABS(B29-C29)</f>
        <v>0</v>
      </c>
      <c r="E29" s="11" t="str">
        <f aca="false">IF(D29&lt;=$B$2,"PASS","FAIL")</f>
        <v>PASS</v>
      </c>
    </row>
    <row r="30" customFormat="false" ht="15" hidden="false" customHeight="false" outlineLevel="0" collapsed="false">
      <c r="A30" s="24" t="s">
        <v>190</v>
      </c>
      <c r="B30" s="9" t="n">
        <f aca="false">COUNTIFS(DisCo_Quarter!$B$2:$B$34,"2026/Q1")</f>
        <v>11</v>
      </c>
      <c r="C30" s="16" t="n">
        <v>11</v>
      </c>
      <c r="D30" s="29" t="n">
        <f aca="false">ABS(B30-C30)</f>
        <v>0</v>
      </c>
      <c r="E30" s="11" t="str">
        <f aca="false">IF(D30&lt;=$B$2,"PASS","FAIL")</f>
        <v>PASS</v>
      </c>
    </row>
    <row r="31" customFormat="false" ht="15" hidden="false" customHeight="false" outlineLevel="0" collapsed="false">
      <c r="A31" s="24" t="s">
        <v>191</v>
      </c>
      <c r="B31" s="9" t="n">
        <f aca="false">COUNTIFS(DisCo_Quarter!$B$2:$B$34,"2026/Q2")</f>
        <v>11</v>
      </c>
      <c r="C31" s="16" t="n">
        <v>11</v>
      </c>
      <c r="D31" s="29" t="n">
        <f aca="false">ABS(B31-C31)</f>
        <v>0</v>
      </c>
      <c r="E31" s="11" t="str">
        <f aca="false">IF(D31&lt;=$B$2,"PASS","FAIL")</f>
        <v>PASS</v>
      </c>
    </row>
    <row r="32" customFormat="false" ht="15" hidden="false" customHeight="false" outlineLevel="0" collapsed="false">
      <c r="A32" s="24" t="s">
        <v>192</v>
      </c>
      <c r="B32" s="9" t="n">
        <f aca="false">SUMIFS(Plants!G2:G29,Plants!C2:C29,"Hydro")</f>
        <v>-118.78</v>
      </c>
      <c r="C32" s="16" t="n">
        <v>-118.79</v>
      </c>
      <c r="D32" s="29" t="n">
        <f aca="false">ABS(B32-C32)</f>
        <v>0.0100000000000477</v>
      </c>
      <c r="E32" s="11" t="str">
        <f aca="false">IF(D32&lt;=$B$3,"PASS","FAIL")</f>
        <v>PASS</v>
      </c>
    </row>
    <row r="33" customFormat="false" ht="15" hidden="false" customHeight="false" outlineLevel="0" collapsed="false">
      <c r="A33" s="24" t="s">
        <v>193</v>
      </c>
      <c r="B33" s="9" t="n">
        <f aca="false">SUMIFS(Plants!G2:G29,Plants!C2:C29,"Thermal")</f>
        <v>28.4600000000001</v>
      </c>
      <c r="C33" s="16" t="n">
        <v>28.47</v>
      </c>
      <c r="D33" s="29" t="n">
        <f aca="false">ABS(B33-C33)</f>
        <v>0.00999999999994117</v>
      </c>
      <c r="E33" s="11" t="str">
        <f aca="false">IF(D33&lt;=$B$3,"PASS","FAIL")</f>
        <v>PASS</v>
      </c>
    </row>
    <row r="34" customFormat="false" ht="15" hidden="false" customHeight="false" outlineLevel="0" collapsed="false">
      <c r="A34" s="24" t="s">
        <v>194</v>
      </c>
      <c r="B34" s="9" t="n">
        <f aca="false">SUMIFS(Plants!H2:H29,Plants!C2:C29,"Hydro")</f>
        <v>-210.39</v>
      </c>
      <c r="C34" s="16" t="n">
        <v>-210.38</v>
      </c>
      <c r="D34" s="29" t="n">
        <f aca="false">ABS(B34-C34)</f>
        <v>0.0100000000001614</v>
      </c>
      <c r="E34" s="11" t="str">
        <f aca="false">IF(D34&lt;=$B$3,"PASS","FAIL")</f>
        <v>PASS</v>
      </c>
    </row>
    <row r="35" customFormat="false" ht="15" hidden="false" customHeight="false" outlineLevel="0" collapsed="false">
      <c r="A35" s="24" t="s">
        <v>195</v>
      </c>
      <c r="B35" s="9" t="n">
        <f aca="false">SUMIFS(Plants!H2:H29,Plants!C2:C29,"Thermal")</f>
        <v>-129.58</v>
      </c>
      <c r="C35" s="16" t="n">
        <v>-129.61</v>
      </c>
      <c r="D35" s="29" t="n">
        <f aca="false">ABS(B35-C35)</f>
        <v>0.030000000000058</v>
      </c>
      <c r="E35" s="11" t="str">
        <f aca="false">IF(D35&lt;=$B$3,"PASS","FAIL")</f>
        <v>PASS</v>
      </c>
    </row>
    <row r="36" customFormat="false" ht="15" hidden="false" customHeight="false" outlineLevel="0" collapsed="false">
      <c r="A36" s="24" t="s">
        <v>196</v>
      </c>
      <c r="B36" s="9" t="n">
        <f aca="false">COUNTIF(Plants!G2:G29,"&lt;0")</f>
        <v>12</v>
      </c>
      <c r="C36" s="16" t="n">
        <v>12</v>
      </c>
      <c r="D36" s="29" t="n">
        <f aca="false">ABS(B36-C36)</f>
        <v>0</v>
      </c>
      <c r="E36" s="11" t="str">
        <f aca="false">IF(D36&lt;=$B$2,"PASS","FAIL")</f>
        <v>PASS</v>
      </c>
    </row>
    <row r="37" customFormat="false" ht="15" hidden="false" customHeight="false" outlineLevel="0" collapsed="false">
      <c r="A37" s="24" t="s">
        <v>197</v>
      </c>
      <c r="B37" s="9" t="n">
        <f aca="false">COUNTIF(Plants!G2:G29,"&gt;0")</f>
        <v>16</v>
      </c>
      <c r="C37" s="16" t="n">
        <v>16</v>
      </c>
      <c r="D37" s="29" t="n">
        <f aca="false">ABS(B37-C37)</f>
        <v>0</v>
      </c>
      <c r="E37" s="11" t="str">
        <f aca="false">IF(D37&lt;=$B$2,"PASS","FAIL")</f>
        <v>PASS</v>
      </c>
    </row>
    <row r="38" customFormat="false" ht="15" hidden="false" customHeight="false" outlineLevel="0" collapsed="false">
      <c r="A38" s="24" t="s">
        <v>198</v>
      </c>
      <c r="B38" s="9" t="n">
        <f aca="false">Plants!G30</f>
        <v>-90.3199999999999</v>
      </c>
      <c r="C38" s="16" t="n">
        <v>-90.32</v>
      </c>
      <c r="D38" s="29" t="n">
        <f aca="false">ABS(B38-C38)</f>
        <v>0</v>
      </c>
      <c r="E38" s="11" t="str">
        <f aca="false">IF(D38&lt;=$B$3,"PASS","FAIL")</f>
        <v>PASS</v>
      </c>
    </row>
    <row r="39" customFormat="false" ht="15" hidden="false" customHeight="false" outlineLevel="0" collapsed="false">
      <c r="A39" s="24" t="s">
        <v>199</v>
      </c>
      <c r="B39" s="9" t="n">
        <f aca="false">Plants!H30</f>
        <v>-339.97</v>
      </c>
      <c r="C39" s="16" t="n">
        <v>-339.99</v>
      </c>
      <c r="D39" s="29" t="n">
        <f aca="false">ABS(B39-C39)</f>
        <v>0.0199999999998681</v>
      </c>
      <c r="E39" s="11" t="str">
        <f aca="false">IF(D39&lt;=$B$3,"PASS","FAIL")</f>
        <v>PASS</v>
      </c>
    </row>
    <row r="41" customFormat="false" ht="15" hidden="false" customHeight="false" outlineLevel="0" collapsed="false">
      <c r="A41" s="22" t="s">
        <v>200</v>
      </c>
      <c r="B41" s="22" t="n">
        <f aca="false">COUNTIF(E5:E39,"PASS")</f>
        <v>35</v>
      </c>
    </row>
    <row r="42" customFormat="false" ht="15" hidden="false" customHeight="false" outlineLevel="0" collapsed="false">
      <c r="A42" s="22" t="s">
        <v>201</v>
      </c>
      <c r="B42" s="22" t="n">
        <f aca="false">COUNTIF(E5:E39,"FAIL")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2026-10-13T03:31:18Z</dcterms:created>
  <dc:creator>openpyxl</dc:creator>
  <dc:description/>
  <dc:language>en-US</dc:language>
  <cp:lastModifiedBy/>
  <dcterms:modified xsi:type="dcterms:W3CDTF">2026-10-13T03:31:18Z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